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LPACAD09\Downloads\"/>
    </mc:Choice>
  </mc:AlternateContent>
  <bookViews>
    <workbookView minimized="1" xWindow="0" yWindow="0" windowWidth="21570" windowHeight="8055"/>
  </bookViews>
  <sheets>
    <sheet name="Sheet1" sheetId="1" r:id="rId1"/>
  </sheets>
  <functionGroups builtInGroupCount="18"/>
  <definedNames>
    <definedName name="GR">Sheet1!$W$7</definedName>
    <definedName name="solver_adj" localSheetId="0" hidden="1">Sheet1!$K$14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Sheet1!$K$15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2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Y11" i="1" s="1"/>
  <c r="AA11" i="1" s="1"/>
  <c r="AC11" i="1" s="1"/>
  <c r="X11" i="1"/>
  <c r="Y10" i="1"/>
  <c r="AA10" i="1" s="1"/>
  <c r="AC10" i="1" s="1"/>
  <c r="X10" i="1"/>
  <c r="W10" i="1"/>
  <c r="AC9" i="1"/>
  <c r="AB9" i="1"/>
  <c r="AA9" i="1"/>
  <c r="Z9" i="1"/>
  <c r="Y9" i="1"/>
  <c r="W7" i="1"/>
  <c r="Z11" i="1" l="1"/>
  <c r="AB11" i="1" s="1"/>
  <c r="Z10" i="1"/>
  <c r="AB10" i="1" s="1"/>
  <c r="R8" i="1"/>
  <c r="S8" i="1" s="1"/>
  <c r="P9" i="1" s="1"/>
  <c r="Q8" i="1"/>
  <c r="K132" i="1"/>
  <c r="L132" i="1" s="1"/>
  <c r="K133" i="1" s="1"/>
  <c r="L133" i="1" s="1"/>
  <c r="K119" i="1"/>
  <c r="L119" i="1" s="1"/>
  <c r="K120" i="1" s="1"/>
  <c r="L120" i="1" s="1"/>
  <c r="K121" i="1" s="1"/>
  <c r="L121" i="1" s="1"/>
  <c r="K122" i="1" s="1"/>
  <c r="L122" i="1" s="1"/>
  <c r="K123" i="1" s="1"/>
  <c r="L123" i="1" s="1"/>
  <c r="K124" i="1" s="1"/>
  <c r="L124" i="1" s="1"/>
  <c r="K125" i="1" s="1"/>
  <c r="L125" i="1" s="1"/>
  <c r="K126" i="1" s="1"/>
  <c r="L126" i="1" s="1"/>
  <c r="K127" i="1" s="1"/>
  <c r="L127" i="1" s="1"/>
  <c r="K128" i="1" s="1"/>
  <c r="L128" i="1" s="1"/>
  <c r="K129" i="1" s="1"/>
  <c r="L129" i="1" s="1"/>
  <c r="K130" i="1" s="1"/>
  <c r="L130" i="1" s="1"/>
  <c r="K131" i="1" s="1"/>
  <c r="L131" i="1" s="1"/>
  <c r="K104" i="1"/>
  <c r="L104" i="1" s="1"/>
  <c r="K105" i="1" s="1"/>
  <c r="L105" i="1" s="1"/>
  <c r="K106" i="1" s="1"/>
  <c r="L106" i="1" s="1"/>
  <c r="K107" i="1" s="1"/>
  <c r="L107" i="1" s="1"/>
  <c r="K108" i="1" s="1"/>
  <c r="L108" i="1" s="1"/>
  <c r="K109" i="1" s="1"/>
  <c r="L109" i="1" s="1"/>
  <c r="K110" i="1" s="1"/>
  <c r="L110" i="1" s="1"/>
  <c r="K111" i="1" s="1"/>
  <c r="L111" i="1" s="1"/>
  <c r="K112" i="1" s="1"/>
  <c r="L112" i="1" s="1"/>
  <c r="K113" i="1" s="1"/>
  <c r="L113" i="1" s="1"/>
  <c r="K114" i="1" s="1"/>
  <c r="L114" i="1" s="1"/>
  <c r="K115" i="1" s="1"/>
  <c r="L115" i="1" s="1"/>
  <c r="K116" i="1" s="1"/>
  <c r="L116" i="1" s="1"/>
  <c r="K117" i="1" s="1"/>
  <c r="L117" i="1" s="1"/>
  <c r="K118" i="1" s="1"/>
  <c r="L118" i="1" s="1"/>
  <c r="K85" i="1"/>
  <c r="L85" i="1" s="1"/>
  <c r="K86" i="1" s="1"/>
  <c r="L86" i="1" s="1"/>
  <c r="K87" i="1" s="1"/>
  <c r="L87" i="1" s="1"/>
  <c r="K88" i="1" s="1"/>
  <c r="L88" i="1" s="1"/>
  <c r="K89" i="1" s="1"/>
  <c r="L89" i="1" s="1"/>
  <c r="K90" i="1" s="1"/>
  <c r="L90" i="1" s="1"/>
  <c r="K91" i="1" s="1"/>
  <c r="L91" i="1" s="1"/>
  <c r="K92" i="1" s="1"/>
  <c r="L92" i="1" s="1"/>
  <c r="K93" i="1" s="1"/>
  <c r="L93" i="1" s="1"/>
  <c r="K94" i="1" s="1"/>
  <c r="L94" i="1" s="1"/>
  <c r="K95" i="1" s="1"/>
  <c r="L95" i="1" s="1"/>
  <c r="K96" i="1" s="1"/>
  <c r="L96" i="1" s="1"/>
  <c r="K97" i="1" s="1"/>
  <c r="L97" i="1" s="1"/>
  <c r="K98" i="1" s="1"/>
  <c r="L98" i="1" s="1"/>
  <c r="K99" i="1" s="1"/>
  <c r="L99" i="1" s="1"/>
  <c r="K100" i="1" s="1"/>
  <c r="L100" i="1" s="1"/>
  <c r="K101" i="1" s="1"/>
  <c r="L101" i="1" s="1"/>
  <c r="K102" i="1" s="1"/>
  <c r="L102" i="1" s="1"/>
  <c r="K103" i="1" s="1"/>
  <c r="L103" i="1" s="1"/>
  <c r="K73" i="1"/>
  <c r="L73" i="1" s="1"/>
  <c r="K74" i="1" s="1"/>
  <c r="L74" i="1" s="1"/>
  <c r="K75" i="1" s="1"/>
  <c r="L75" i="1" s="1"/>
  <c r="K76" i="1" s="1"/>
  <c r="L76" i="1" s="1"/>
  <c r="K77" i="1" s="1"/>
  <c r="L77" i="1" s="1"/>
  <c r="K78" i="1" s="1"/>
  <c r="L78" i="1" s="1"/>
  <c r="K79" i="1" s="1"/>
  <c r="L79" i="1" s="1"/>
  <c r="K80" i="1" s="1"/>
  <c r="L80" i="1" s="1"/>
  <c r="K81" i="1" s="1"/>
  <c r="L81" i="1" s="1"/>
  <c r="K82" i="1" s="1"/>
  <c r="L82" i="1" s="1"/>
  <c r="K83" i="1" s="1"/>
  <c r="L83" i="1" s="1"/>
  <c r="K84" i="1" s="1"/>
  <c r="L84" i="1" s="1"/>
  <c r="K67" i="1"/>
  <c r="L67" i="1" s="1"/>
  <c r="K68" i="1" s="1"/>
  <c r="L68" i="1" s="1"/>
  <c r="K69" i="1" s="1"/>
  <c r="L69" i="1" s="1"/>
  <c r="K70" i="1" s="1"/>
  <c r="L70" i="1" s="1"/>
  <c r="K71" i="1" s="1"/>
  <c r="L71" i="1" s="1"/>
  <c r="K72" i="1" s="1"/>
  <c r="L72" i="1" s="1"/>
  <c r="K54" i="1"/>
  <c r="L54" i="1" s="1"/>
  <c r="K55" i="1" s="1"/>
  <c r="L55" i="1" s="1"/>
  <c r="K56" i="1" s="1"/>
  <c r="L56" i="1" s="1"/>
  <c r="K57" i="1" s="1"/>
  <c r="L57" i="1" s="1"/>
  <c r="K58" i="1" s="1"/>
  <c r="L58" i="1" s="1"/>
  <c r="K59" i="1" s="1"/>
  <c r="L59" i="1" s="1"/>
  <c r="K60" i="1" s="1"/>
  <c r="L60" i="1" s="1"/>
  <c r="K61" i="1" s="1"/>
  <c r="L61" i="1" s="1"/>
  <c r="K62" i="1" s="1"/>
  <c r="L62" i="1" s="1"/>
  <c r="K63" i="1" s="1"/>
  <c r="L63" i="1" s="1"/>
  <c r="K64" i="1" s="1"/>
  <c r="L64" i="1" s="1"/>
  <c r="K65" i="1" s="1"/>
  <c r="L65" i="1" s="1"/>
  <c r="K66" i="1" s="1"/>
  <c r="L66" i="1" s="1"/>
  <c r="K47" i="1"/>
  <c r="L47" i="1"/>
  <c r="K48" i="1" s="1"/>
  <c r="L48" i="1" s="1"/>
  <c r="K49" i="1" s="1"/>
  <c r="L49" i="1" s="1"/>
  <c r="K50" i="1" s="1"/>
  <c r="L50" i="1" s="1"/>
  <c r="K51" i="1" s="1"/>
  <c r="L51" i="1" s="1"/>
  <c r="K52" i="1" s="1"/>
  <c r="L52" i="1" s="1"/>
  <c r="K53" i="1" s="1"/>
  <c r="L53" i="1" s="1"/>
  <c r="K37" i="1"/>
  <c r="L37" i="1" s="1"/>
  <c r="K38" i="1" s="1"/>
  <c r="L38" i="1" s="1"/>
  <c r="K39" i="1" s="1"/>
  <c r="L39" i="1" s="1"/>
  <c r="K40" i="1" s="1"/>
  <c r="L40" i="1" s="1"/>
  <c r="K41" i="1" s="1"/>
  <c r="L41" i="1" s="1"/>
  <c r="K42" i="1" s="1"/>
  <c r="L42" i="1" s="1"/>
  <c r="K43" i="1" s="1"/>
  <c r="L43" i="1" s="1"/>
  <c r="K44" i="1" s="1"/>
  <c r="L44" i="1" s="1"/>
  <c r="K45" i="1" s="1"/>
  <c r="L45" i="1" s="1"/>
  <c r="K46" i="1" s="1"/>
  <c r="L46" i="1" s="1"/>
  <c r="K29" i="1"/>
  <c r="L29" i="1" s="1"/>
  <c r="K30" i="1" s="1"/>
  <c r="L30" i="1" s="1"/>
  <c r="K31" i="1" s="1"/>
  <c r="L31" i="1" s="1"/>
  <c r="K32" i="1" s="1"/>
  <c r="L32" i="1" s="1"/>
  <c r="K33" i="1" s="1"/>
  <c r="L33" i="1" s="1"/>
  <c r="K34" i="1" s="1"/>
  <c r="L34" i="1" s="1"/>
  <c r="K35" i="1" s="1"/>
  <c r="L35" i="1" s="1"/>
  <c r="K36" i="1" s="1"/>
  <c r="L36" i="1" s="1"/>
  <c r="K23" i="1"/>
  <c r="L23" i="1" s="1"/>
  <c r="K24" i="1" s="1"/>
  <c r="L24" i="1" s="1"/>
  <c r="K25" i="1" s="1"/>
  <c r="L25" i="1" s="1"/>
  <c r="K26" i="1" s="1"/>
  <c r="L26" i="1" s="1"/>
  <c r="K27" i="1" s="1"/>
  <c r="L27" i="1" s="1"/>
  <c r="K28" i="1" s="1"/>
  <c r="L28" i="1" s="1"/>
  <c r="K10" i="1"/>
  <c r="L10" i="1"/>
  <c r="K11" i="1"/>
  <c r="L11" i="1" s="1"/>
  <c r="K12" i="1" s="1"/>
  <c r="L12" i="1" s="1"/>
  <c r="K13" i="1" s="1"/>
  <c r="L13" i="1" s="1"/>
  <c r="K14" i="1" s="1"/>
  <c r="L14" i="1" s="1"/>
  <c r="K15" i="1" s="1"/>
  <c r="L15" i="1" s="1"/>
  <c r="K16" i="1" s="1"/>
  <c r="L16" i="1" s="1"/>
  <c r="K17" i="1" s="1"/>
  <c r="L17" i="1" s="1"/>
  <c r="K18" i="1" s="1"/>
  <c r="L18" i="1" s="1"/>
  <c r="K19" i="1" s="1"/>
  <c r="L19" i="1" s="1"/>
  <c r="K20" i="1" s="1"/>
  <c r="L20" i="1" s="1"/>
  <c r="K21" i="1" s="1"/>
  <c r="L21" i="1" s="1"/>
  <c r="K22" i="1" s="1"/>
  <c r="L22" i="1" s="1"/>
  <c r="L8" i="1"/>
  <c r="K9" i="1" s="1"/>
  <c r="L9" i="1" s="1"/>
  <c r="H7" i="1"/>
  <c r="X12" i="1" l="1"/>
  <c r="W12" i="1"/>
  <c r="T9" i="1"/>
  <c r="R9" i="1" s="1"/>
  <c r="S9" i="1" s="1"/>
  <c r="Q9" i="1"/>
  <c r="B6" i="1"/>
  <c r="Y12" i="1" l="1"/>
  <c r="AA12" i="1" s="1"/>
  <c r="AC12" i="1" s="1"/>
  <c r="P10" i="1"/>
  <c r="T10" i="1"/>
  <c r="Z12" i="1" l="1"/>
  <c r="AB12" i="1" s="1"/>
  <c r="Q10" i="1"/>
  <c r="R10" i="1"/>
  <c r="S10" i="1" s="1"/>
  <c r="W13" i="1" l="1"/>
  <c r="X13" i="1"/>
  <c r="P11" i="1"/>
  <c r="Q11" i="1" s="1"/>
  <c r="T11" i="1"/>
  <c r="R11" i="1" s="1"/>
  <c r="S11" i="1" s="1"/>
  <c r="P12" i="1" s="1"/>
  <c r="Y13" i="1" l="1"/>
  <c r="Z13" i="1" s="1"/>
  <c r="AB13" i="1" s="1"/>
  <c r="AA13" i="1"/>
  <c r="AC13" i="1" s="1"/>
  <c r="T12" i="1"/>
  <c r="Q12" i="1"/>
  <c r="R12" i="1"/>
  <c r="S12" i="1" s="1"/>
  <c r="X14" i="1" l="1"/>
  <c r="W14" i="1"/>
  <c r="P13" i="1"/>
  <c r="T13" i="1"/>
  <c r="Y14" i="1" l="1"/>
  <c r="Z14" i="1" s="1"/>
  <c r="AB14" i="1" s="1"/>
  <c r="Q13" i="1"/>
  <c r="R13" i="1"/>
  <c r="S13" i="1" s="1"/>
  <c r="AA14" i="1" l="1"/>
  <c r="AC14" i="1" s="1"/>
  <c r="W15" i="1" s="1"/>
  <c r="T14" i="1"/>
  <c r="P14" i="1"/>
  <c r="X15" i="1" l="1"/>
  <c r="Q14" i="1"/>
  <c r="R14" i="1"/>
  <c r="S14" i="1" s="1"/>
  <c r="Y15" i="1" l="1"/>
  <c r="Z15" i="1" s="1"/>
  <c r="AB15" i="1" s="1"/>
  <c r="P15" i="1"/>
  <c r="T15" i="1"/>
  <c r="AA15" i="1" l="1"/>
  <c r="AC15" i="1" s="1"/>
  <c r="W16" i="1" s="1"/>
  <c r="R15" i="1"/>
  <c r="S15" i="1" s="1"/>
  <c r="Q15" i="1"/>
  <c r="X16" i="1" l="1"/>
  <c r="P16" i="1"/>
  <c r="T16" i="1"/>
  <c r="Y16" i="1" l="1"/>
  <c r="Z16" i="1" s="1"/>
  <c r="AB16" i="1" s="1"/>
  <c r="AA16" i="1"/>
  <c r="AC16" i="1" s="1"/>
  <c r="R16" i="1"/>
  <c r="S16" i="1" s="1"/>
  <c r="Q16" i="1"/>
  <c r="W17" i="1" l="1"/>
  <c r="X17" i="1"/>
  <c r="T17" i="1"/>
  <c r="P17" i="1"/>
  <c r="Y17" i="1" l="1"/>
  <c r="AA17" i="1" s="1"/>
  <c r="AC17" i="1" s="1"/>
  <c r="R17" i="1"/>
  <c r="S17" i="1" s="1"/>
  <c r="Q17" i="1"/>
  <c r="Z17" i="1" l="1"/>
  <c r="AB17" i="1" s="1"/>
  <c r="P18" i="1"/>
  <c r="T18" i="1"/>
  <c r="W18" i="1" l="1"/>
  <c r="X18" i="1"/>
  <c r="Q18" i="1"/>
  <c r="R18" i="1"/>
  <c r="S18" i="1" s="1"/>
  <c r="Y18" i="1" l="1"/>
  <c r="Z18" i="1" s="1"/>
  <c r="AB18" i="1" s="1"/>
  <c r="T19" i="1"/>
  <c r="P19" i="1"/>
  <c r="W19" i="1" l="1"/>
  <c r="AA18" i="1"/>
  <c r="AC18" i="1" s="1"/>
  <c r="X19" i="1" s="1"/>
  <c r="R19" i="1"/>
  <c r="S19" i="1" s="1"/>
  <c r="Q19" i="1"/>
  <c r="Y19" i="1" l="1"/>
  <c r="AA19" i="1" s="1"/>
  <c r="AC19" i="1" s="1"/>
  <c r="P20" i="1"/>
  <c r="T20" i="1"/>
  <c r="Z19" i="1" l="1"/>
  <c r="AB19" i="1" s="1"/>
  <c r="R20" i="1"/>
  <c r="S20" i="1" s="1"/>
  <c r="Q20" i="1"/>
  <c r="X20" i="1" l="1"/>
  <c r="W20" i="1"/>
  <c r="T21" i="1"/>
  <c r="P21" i="1"/>
  <c r="Y20" i="1" l="1"/>
  <c r="Z20" i="1" s="1"/>
  <c r="AB20" i="1" s="1"/>
  <c r="AA20" i="1"/>
  <c r="AC20" i="1" s="1"/>
  <c r="Q21" i="1"/>
  <c r="R21" i="1"/>
  <c r="S21" i="1" s="1"/>
  <c r="W21" i="1" l="1"/>
  <c r="X21" i="1"/>
  <c r="T22" i="1"/>
  <c r="P22" i="1"/>
  <c r="Y21" i="1" l="1"/>
  <c r="AA21" i="1"/>
  <c r="AC21" i="1" s="1"/>
  <c r="Z21" i="1"/>
  <c r="AB21" i="1" s="1"/>
  <c r="Q22" i="1"/>
  <c r="R22" i="1"/>
  <c r="S22" i="1" s="1"/>
  <c r="W22" i="1" l="1"/>
  <c r="X22" i="1"/>
  <c r="P23" i="1"/>
  <c r="T23" i="1"/>
  <c r="Y22" i="1" l="1"/>
  <c r="AA22" i="1" s="1"/>
  <c r="AC22" i="1" s="1"/>
  <c r="Q23" i="1"/>
  <c r="R23" i="1"/>
  <c r="S23" i="1" s="1"/>
  <c r="Z22" i="1" l="1"/>
  <c r="AB22" i="1" s="1"/>
  <c r="T24" i="1"/>
  <c r="P24" i="1"/>
  <c r="X23" i="1" l="1"/>
  <c r="W23" i="1"/>
  <c r="Q24" i="1"/>
  <c r="R24" i="1"/>
  <c r="S24" i="1" s="1"/>
  <c r="Z23" i="1" l="1"/>
  <c r="AB23" i="1" s="1"/>
  <c r="AA23" i="1"/>
  <c r="AC23" i="1" s="1"/>
  <c r="Y23" i="1"/>
  <c r="T25" i="1"/>
  <c r="P25" i="1"/>
  <c r="W24" i="1" l="1"/>
  <c r="X24" i="1"/>
  <c r="R25" i="1"/>
  <c r="S25" i="1" s="1"/>
  <c r="Q25" i="1"/>
  <c r="Y24" i="1" l="1"/>
  <c r="AA24" i="1"/>
  <c r="AC24" i="1" s="1"/>
  <c r="Z24" i="1"/>
  <c r="AB24" i="1" s="1"/>
  <c r="T26" i="1"/>
  <c r="P26" i="1"/>
  <c r="W25" i="1" l="1"/>
  <c r="X25" i="1"/>
  <c r="R26" i="1"/>
  <c r="S26" i="1" s="1"/>
  <c r="Q26" i="1"/>
  <c r="Y25" i="1" l="1"/>
  <c r="Z25" i="1" s="1"/>
  <c r="AB25" i="1" s="1"/>
  <c r="T27" i="1"/>
  <c r="P27" i="1"/>
  <c r="W26" i="1" l="1"/>
  <c r="X26" i="1"/>
  <c r="AA25" i="1"/>
  <c r="AC25" i="1" s="1"/>
  <c r="Q27" i="1"/>
  <c r="R27" i="1"/>
  <c r="S27" i="1" s="1"/>
  <c r="Z26" i="1" l="1"/>
  <c r="AB26" i="1" s="1"/>
  <c r="Y26" i="1"/>
  <c r="AA26" i="1" s="1"/>
  <c r="AC26" i="1" s="1"/>
  <c r="P28" i="1"/>
  <c r="T28" i="1"/>
  <c r="W27" i="1" l="1"/>
  <c r="X27" i="1"/>
  <c r="Q28" i="1"/>
  <c r="R28" i="1"/>
  <c r="S28" i="1" s="1"/>
  <c r="Y27" i="1" l="1"/>
  <c r="AA27" i="1"/>
  <c r="AC27" i="1" s="1"/>
  <c r="Z27" i="1"/>
  <c r="AB27" i="1" s="1"/>
  <c r="X28" i="1" l="1"/>
  <c r="W28" i="1"/>
  <c r="Y28" i="1" l="1"/>
  <c r="Z28" i="1" s="1"/>
  <c r="AB28" i="1" s="1"/>
  <c r="AA28" i="1"/>
  <c r="AC28" i="1" s="1"/>
  <c r="W29" i="1" l="1"/>
  <c r="X29" i="1"/>
  <c r="Y29" i="1" l="1"/>
  <c r="AA29" i="1"/>
  <c r="AC29" i="1" s="1"/>
  <c r="Z29" i="1"/>
  <c r="AB29" i="1" s="1"/>
  <c r="W30" i="1" l="1"/>
  <c r="X30" i="1"/>
  <c r="Y30" i="1" l="1"/>
  <c r="AA30" i="1" s="1"/>
  <c r="AC30" i="1" s="1"/>
  <c r="Z30" i="1"/>
  <c r="AB30" i="1" s="1"/>
  <c r="X31" i="1" l="1"/>
  <c r="W31" i="1"/>
  <c r="AA31" i="1" l="1"/>
  <c r="AC31" i="1" s="1"/>
  <c r="Y31" i="1"/>
  <c r="Z31" i="1"/>
  <c r="AB31" i="1" s="1"/>
  <c r="W32" i="1" l="1"/>
  <c r="X32" i="1"/>
  <c r="Y32" i="1" l="1"/>
  <c r="Z32" i="1" s="1"/>
  <c r="AB32" i="1" s="1"/>
  <c r="AA32" i="1"/>
  <c r="AC32" i="1" s="1"/>
  <c r="W33" i="1" l="1"/>
  <c r="X33" i="1"/>
  <c r="AA33" i="1" l="1"/>
  <c r="AC33" i="1" s="1"/>
  <c r="Y33" i="1"/>
  <c r="Z33" i="1"/>
  <c r="AB33" i="1" s="1"/>
  <c r="W34" i="1" l="1"/>
  <c r="X34" i="1"/>
  <c r="Z34" i="1" l="1"/>
  <c r="AB34" i="1" s="1"/>
  <c r="Y34" i="1"/>
  <c r="AA34" i="1" s="1"/>
  <c r="AC34" i="1" s="1"/>
  <c r="W35" i="1" l="1"/>
  <c r="X35" i="1"/>
  <c r="Y35" i="1" l="1"/>
  <c r="AA35" i="1" s="1"/>
  <c r="AC35" i="1" s="1"/>
  <c r="Z35" i="1" l="1"/>
  <c r="AB35" i="1" s="1"/>
</calcChain>
</file>

<file path=xl/sharedStrings.xml><?xml version="1.0" encoding="utf-8"?>
<sst xmlns="http://schemas.openxmlformats.org/spreadsheetml/2006/main" count="22" uniqueCount="22">
  <si>
    <t>input</t>
  </si>
  <si>
    <t>x</t>
  </si>
  <si>
    <t>output</t>
  </si>
  <si>
    <t>x=sin(x)</t>
  </si>
  <si>
    <t>sin(x)</t>
  </si>
  <si>
    <t>iteration method</t>
  </si>
  <si>
    <t xml:space="preserve">bisection method </t>
  </si>
  <si>
    <t>f(x)= x-sin(x)</t>
  </si>
  <si>
    <t xml:space="preserve">low </t>
  </si>
  <si>
    <t>f(low)</t>
  </si>
  <si>
    <t>mid</t>
  </si>
  <si>
    <t>f(mid)</t>
  </si>
  <si>
    <t>high</t>
  </si>
  <si>
    <t>f(x)= x^2 - 6*x + 15</t>
  </si>
  <si>
    <t xml:space="preserve">GR </t>
  </si>
  <si>
    <t>a</t>
  </si>
  <si>
    <t>b</t>
  </si>
  <si>
    <t>d</t>
  </si>
  <si>
    <t>x1</t>
  </si>
  <si>
    <t>x2</t>
  </si>
  <si>
    <t>fx1</t>
  </si>
  <si>
    <t>fx2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</si>
</sst>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33"/>
  <sheetViews>
    <sheetView tabSelected="1" topLeftCell="E1" workbookViewId="0">
      <selection activeCell="Z35" sqref="Z35"/>
    </sheetView>
  </sheetViews>
  <sheetFormatPr defaultRowHeight="15" x14ac:dyDescent="0.25"/>
  <sheetData>
    <row r="1" spans="1:29" x14ac:dyDescent="0.25">
      <c r="A1">
        <v>1</v>
      </c>
      <c r="C1">
        <v>13</v>
      </c>
    </row>
    <row r="2" spans="1:29" x14ac:dyDescent="0.25">
      <c r="A2">
        <v>10</v>
      </c>
      <c r="C2">
        <v>14</v>
      </c>
    </row>
    <row r="3" spans="1:29" x14ac:dyDescent="0.25">
      <c r="C3">
        <v>16</v>
      </c>
    </row>
    <row r="4" spans="1:29" x14ac:dyDescent="0.25">
      <c r="C4">
        <v>18</v>
      </c>
    </row>
    <row r="5" spans="1:29" x14ac:dyDescent="0.25">
      <c r="K5" t="s">
        <v>5</v>
      </c>
      <c r="O5" t="s">
        <v>6</v>
      </c>
      <c r="Q5" t="s">
        <v>7</v>
      </c>
      <c r="V5" t="s">
        <v>13</v>
      </c>
    </row>
    <row r="6" spans="1:29" x14ac:dyDescent="0.25">
      <c r="A6">
        <v>16.2</v>
      </c>
      <c r="B6">
        <f>K8</f>
        <v>1</v>
      </c>
      <c r="G6" t="s">
        <v>0</v>
      </c>
      <c r="H6">
        <v>0.15302735600350201</v>
      </c>
      <c r="L6" t="s">
        <v>3</v>
      </c>
    </row>
    <row r="7" spans="1:29" x14ac:dyDescent="0.25">
      <c r="A7">
        <v>1</v>
      </c>
      <c r="B7">
        <v>16.2</v>
      </c>
      <c r="G7" t="s">
        <v>2</v>
      </c>
      <c r="H7">
        <f>H6-SIN(H6)</f>
        <v>5.9655083440415813E-4</v>
      </c>
      <c r="K7" t="s">
        <v>1</v>
      </c>
      <c r="L7" t="s">
        <v>4</v>
      </c>
      <c r="P7" t="s">
        <v>8</v>
      </c>
      <c r="Q7" t="s">
        <v>9</v>
      </c>
      <c r="R7" t="s">
        <v>10</v>
      </c>
      <c r="S7" t="s">
        <v>11</v>
      </c>
      <c r="T7" t="s">
        <v>12</v>
      </c>
      <c r="V7" t="s">
        <v>14</v>
      </c>
      <c r="W7">
        <f>(SQRT(5)-1)/2</f>
        <v>0.6180339887498949</v>
      </c>
    </row>
    <row r="8" spans="1:29" x14ac:dyDescent="0.25">
      <c r="A8">
        <v>2</v>
      </c>
      <c r="B8">
        <v>16.2</v>
      </c>
      <c r="K8">
        <v>1</v>
      </c>
      <c r="L8">
        <f>SIN(K8)</f>
        <v>0.8414709848078965</v>
      </c>
      <c r="P8">
        <v>-1</v>
      </c>
      <c r="Q8">
        <f>P8-SIN(P8)</f>
        <v>-0.1585290151921035</v>
      </c>
      <c r="R8">
        <f>(P8+T8)/2</f>
        <v>0</v>
      </c>
      <c r="S8">
        <f>R8-SIN(R8)</f>
        <v>0</v>
      </c>
      <c r="T8">
        <v>1</v>
      </c>
      <c r="W8" t="s">
        <v>15</v>
      </c>
      <c r="X8" t="s">
        <v>16</v>
      </c>
      <c r="Y8" t="s">
        <v>17</v>
      </c>
      <c r="Z8" t="s">
        <v>18</v>
      </c>
      <c r="AA8" t="s">
        <v>19</v>
      </c>
      <c r="AB8" t="s">
        <v>20</v>
      </c>
      <c r="AC8" t="s">
        <v>21</v>
      </c>
    </row>
    <row r="9" spans="1:29" x14ac:dyDescent="0.25">
      <c r="A9">
        <v>3</v>
      </c>
      <c r="B9">
        <v>16.2</v>
      </c>
      <c r="K9">
        <f>L8</f>
        <v>0.8414709848078965</v>
      </c>
      <c r="L9">
        <f>SIN(K9)</f>
        <v>0.7456241416655579</v>
      </c>
      <c r="P9">
        <f>IF(Q8*S8 &lt;=0,P8,R8)</f>
        <v>-1</v>
      </c>
      <c r="Q9">
        <f>P9-SIN(P9)</f>
        <v>-0.1585290151921035</v>
      </c>
      <c r="R9">
        <f>(P9+T9)/2</f>
        <v>-0.5</v>
      </c>
      <c r="S9">
        <f>R9-SIN(R9)</f>
        <v>-2.0574461395796995E-2</v>
      </c>
      <c r="T9">
        <f>IF(Q8*S8&gt;0,T8,R8)</f>
        <v>0</v>
      </c>
      <c r="V9">
        <v>1</v>
      </c>
      <c r="W9">
        <v>0</v>
      </c>
      <c r="X9">
        <v>4</v>
      </c>
      <c r="Y9">
        <f t="shared" ref="Y9:Y35" si="0">GR*(X9-W9)</f>
        <v>2.4721359549995796</v>
      </c>
      <c r="Z9">
        <f>W9+Y9</f>
        <v>2.4721359549995796</v>
      </c>
      <c r="AA9">
        <f>X9-Y9</f>
        <v>1.5278640450004204</v>
      </c>
      <c r="AB9">
        <f>Z9^2-6*Z9+15</f>
        <v>6.2786404500042057</v>
      </c>
      <c r="AC9">
        <f>AA9^2-6*AA9+15</f>
        <v>8.1671842700025241</v>
      </c>
    </row>
    <row r="10" spans="1:29" x14ac:dyDescent="0.25">
      <c r="A10">
        <v>4</v>
      </c>
      <c r="B10">
        <v>16.2</v>
      </c>
      <c r="K10">
        <f t="shared" ref="K10:K74" si="1">L9</f>
        <v>0.7456241416655579</v>
      </c>
      <c r="L10">
        <f t="shared" ref="L10:L74" si="2">SIN(K10)</f>
        <v>0.67843047736074025</v>
      </c>
      <c r="P10">
        <f t="shared" ref="P10:P22" si="3">IF(Q9*S9 &lt;=0,P9,R9)</f>
        <v>-0.5</v>
      </c>
      <c r="Q10">
        <f t="shared" ref="Q10:Q28" si="4">P10-SIN(P10)</f>
        <v>-2.0574461395796995E-2</v>
      </c>
      <c r="R10">
        <f t="shared" ref="R10:R22" si="5">(P10+T10)/2</f>
        <v>-0.25</v>
      </c>
      <c r="S10">
        <f t="shared" ref="S10:S28" si="6">R10-SIN(R10)</f>
        <v>-2.5960407454770629E-3</v>
      </c>
      <c r="T10">
        <f t="shared" ref="T10:T22" si="7">IF(Q9*S9&gt;0,T9,R9)</f>
        <v>0</v>
      </c>
      <c r="V10">
        <v>2</v>
      </c>
      <c r="W10">
        <f>IF(AB9&lt;AC9,AA9,W9)</f>
        <v>1.5278640450004204</v>
      </c>
      <c r="X10">
        <f>IF(AB9&lt;AC9,X9,Z9)</f>
        <v>4</v>
      </c>
      <c r="Y10">
        <f t="shared" si="0"/>
        <v>1.5278640450004208</v>
      </c>
      <c r="Z10">
        <f>W10+Y10</f>
        <v>3.0557280900008412</v>
      </c>
      <c r="AA10">
        <f>X10-Y10</f>
        <v>2.4721359549995792</v>
      </c>
      <c r="AB10">
        <f>Z10^2-6*Z10+15</f>
        <v>6.0031056200151411</v>
      </c>
      <c r="AC10">
        <f>AA10^2-6*AA10+15</f>
        <v>6.2786404500042075</v>
      </c>
    </row>
    <row r="11" spans="1:29" x14ac:dyDescent="0.25">
      <c r="A11">
        <v>5</v>
      </c>
      <c r="B11">
        <v>16.2</v>
      </c>
      <c r="K11">
        <f t="shared" si="1"/>
        <v>0.67843047736074025</v>
      </c>
      <c r="L11">
        <f t="shared" si="2"/>
        <v>0.62757183204915912</v>
      </c>
      <c r="P11">
        <f t="shared" si="3"/>
        <v>-0.25</v>
      </c>
      <c r="Q11">
        <f t="shared" si="4"/>
        <v>-2.5960407454770629E-3</v>
      </c>
      <c r="R11">
        <f t="shared" si="5"/>
        <v>-0.125</v>
      </c>
      <c r="S11">
        <f t="shared" si="6"/>
        <v>-3.2526661477230712E-4</v>
      </c>
      <c r="T11">
        <f t="shared" si="7"/>
        <v>0</v>
      </c>
      <c r="V11">
        <v>3</v>
      </c>
      <c r="W11">
        <f t="shared" ref="W11:W35" si="8">IF(AB10&lt;AC10,AA10,W10)</f>
        <v>2.4721359549995792</v>
      </c>
      <c r="X11">
        <f t="shared" ref="X11:X35" si="9">IF(AB10&lt;AC10,X10,Z10)</f>
        <v>4</v>
      </c>
      <c r="Y11">
        <f t="shared" si="0"/>
        <v>0.944271909999159</v>
      </c>
      <c r="Z11">
        <f t="shared" ref="Z11:Z35" si="10">W11+Y11</f>
        <v>3.4164078649987379</v>
      </c>
      <c r="AA11">
        <f t="shared" ref="AA11:AA35" si="11">X11-Y11</f>
        <v>3.0557280900008408</v>
      </c>
      <c r="AB11">
        <f t="shared" ref="AB11:AB35" si="12">Z11^2-6*Z11+15</f>
        <v>6.1733955100328082</v>
      </c>
      <c r="AC11">
        <f t="shared" ref="AC11:AC35" si="13">AA11^2-6*AA11+15</f>
        <v>6.0031056200151411</v>
      </c>
    </row>
    <row r="12" spans="1:29" x14ac:dyDescent="0.25">
      <c r="A12">
        <v>6</v>
      </c>
      <c r="B12">
        <v>16.2</v>
      </c>
      <c r="K12">
        <f t="shared" si="1"/>
        <v>0.62757183204915912</v>
      </c>
      <c r="L12">
        <f t="shared" si="2"/>
        <v>0.58718099657343092</v>
      </c>
      <c r="P12">
        <f t="shared" si="3"/>
        <v>-0.125</v>
      </c>
      <c r="Q12">
        <f t="shared" si="4"/>
        <v>-3.2526661477230712E-4</v>
      </c>
      <c r="R12">
        <f t="shared" si="5"/>
        <v>-6.25E-2</v>
      </c>
      <c r="S12">
        <f t="shared" si="6"/>
        <v>-4.0682157619799375E-5</v>
      </c>
      <c r="T12">
        <f t="shared" si="7"/>
        <v>0</v>
      </c>
      <c r="V12">
        <v>4</v>
      </c>
      <c r="W12">
        <f t="shared" si="8"/>
        <v>2.4721359549995792</v>
      </c>
      <c r="X12">
        <f t="shared" si="9"/>
        <v>3.4164078649987379</v>
      </c>
      <c r="Y12">
        <f t="shared" si="0"/>
        <v>0.58359213500126184</v>
      </c>
      <c r="Z12">
        <f t="shared" si="10"/>
        <v>3.0557280900008408</v>
      </c>
      <c r="AA12">
        <f t="shared" si="11"/>
        <v>2.8328157299974759</v>
      </c>
      <c r="AB12">
        <f t="shared" si="12"/>
        <v>6.0031056200151411</v>
      </c>
      <c r="AC12">
        <f t="shared" si="13"/>
        <v>6.0279505801362774</v>
      </c>
    </row>
    <row r="13" spans="1:29" x14ac:dyDescent="0.25">
      <c r="A13">
        <v>7</v>
      </c>
      <c r="B13">
        <v>16.2</v>
      </c>
      <c r="K13">
        <f t="shared" si="1"/>
        <v>0.58718099657343092</v>
      </c>
      <c r="L13">
        <f t="shared" si="2"/>
        <v>0.55401639075562958</v>
      </c>
      <c r="P13">
        <f t="shared" si="3"/>
        <v>-6.25E-2</v>
      </c>
      <c r="Q13">
        <f t="shared" si="4"/>
        <v>-4.0682157619799375E-5</v>
      </c>
      <c r="R13">
        <f t="shared" si="5"/>
        <v>-3.125E-2</v>
      </c>
      <c r="S13">
        <f t="shared" si="6"/>
        <v>-5.0860146739196976E-6</v>
      </c>
      <c r="T13">
        <f t="shared" si="7"/>
        <v>0</v>
      </c>
      <c r="V13">
        <v>5</v>
      </c>
      <c r="W13">
        <f t="shared" si="8"/>
        <v>2.8328157299974759</v>
      </c>
      <c r="X13">
        <f t="shared" si="9"/>
        <v>3.4164078649987379</v>
      </c>
      <c r="Y13">
        <f t="shared" si="0"/>
        <v>0.36067977499789716</v>
      </c>
      <c r="Z13">
        <f t="shared" si="10"/>
        <v>3.193495504995373</v>
      </c>
      <c r="AA13">
        <f t="shared" si="11"/>
        <v>3.0557280900008408</v>
      </c>
      <c r="AB13">
        <f t="shared" si="12"/>
        <v>6.037440510453413</v>
      </c>
      <c r="AC13">
        <f t="shared" si="13"/>
        <v>6.0031056200151411</v>
      </c>
    </row>
    <row r="14" spans="1:29" x14ac:dyDescent="0.25">
      <c r="A14">
        <v>7</v>
      </c>
      <c r="B14">
        <v>16.2</v>
      </c>
      <c r="K14">
        <f t="shared" si="1"/>
        <v>0.55401639075562958</v>
      </c>
      <c r="L14">
        <f t="shared" si="2"/>
        <v>0.52610707550284164</v>
      </c>
      <c r="P14">
        <f t="shared" si="3"/>
        <v>-3.125E-2</v>
      </c>
      <c r="Q14">
        <f t="shared" si="4"/>
        <v>-5.0860146739196976E-6</v>
      </c>
      <c r="R14">
        <f t="shared" si="5"/>
        <v>-1.5625E-2</v>
      </c>
      <c r="S14">
        <f t="shared" si="6"/>
        <v>-6.357751166276987E-7</v>
      </c>
      <c r="T14">
        <f t="shared" si="7"/>
        <v>0</v>
      </c>
      <c r="V14">
        <v>6</v>
      </c>
      <c r="W14">
        <f t="shared" si="8"/>
        <v>2.8328157299974759</v>
      </c>
      <c r="X14">
        <f t="shared" si="9"/>
        <v>3.193495504995373</v>
      </c>
      <c r="Y14">
        <f t="shared" si="0"/>
        <v>0.22291236000336501</v>
      </c>
      <c r="Z14">
        <f t="shared" si="10"/>
        <v>3.0557280900008408</v>
      </c>
      <c r="AA14">
        <f t="shared" si="11"/>
        <v>2.9705831449920082</v>
      </c>
      <c r="AB14">
        <f t="shared" si="12"/>
        <v>6.0031056200151411</v>
      </c>
      <c r="AC14">
        <f t="shared" si="13"/>
        <v>6.0008653513585628</v>
      </c>
    </row>
    <row r="15" spans="1:29" x14ac:dyDescent="0.25">
      <c r="A15">
        <v>9</v>
      </c>
      <c r="B15">
        <v>16.2</v>
      </c>
      <c r="K15">
        <f t="shared" si="1"/>
        <v>0.52610707550284164</v>
      </c>
      <c r="L15">
        <f t="shared" si="2"/>
        <v>0.50217067626855527</v>
      </c>
      <c r="P15">
        <f t="shared" si="3"/>
        <v>-1.5625E-2</v>
      </c>
      <c r="Q15">
        <f t="shared" si="4"/>
        <v>-6.357751166276987E-7</v>
      </c>
      <c r="R15">
        <f t="shared" si="5"/>
        <v>-7.8125E-3</v>
      </c>
      <c r="S15">
        <f t="shared" si="6"/>
        <v>-7.9472617168542536E-8</v>
      </c>
      <c r="T15">
        <f t="shared" si="7"/>
        <v>0</v>
      </c>
      <c r="V15">
        <v>7</v>
      </c>
      <c r="W15">
        <f t="shared" si="8"/>
        <v>2.8328157299974759</v>
      </c>
      <c r="X15">
        <f t="shared" si="9"/>
        <v>3.0557280900008408</v>
      </c>
      <c r="Y15">
        <f t="shared" si="0"/>
        <v>0.13776741499453216</v>
      </c>
      <c r="Z15">
        <f t="shared" si="10"/>
        <v>2.9705831449920082</v>
      </c>
      <c r="AA15">
        <f t="shared" si="11"/>
        <v>2.9179606750063085</v>
      </c>
      <c r="AB15">
        <f t="shared" si="12"/>
        <v>6.0008653513585628</v>
      </c>
      <c r="AC15">
        <f t="shared" si="13"/>
        <v>6.0067304508454225</v>
      </c>
    </row>
    <row r="16" spans="1:29" x14ac:dyDescent="0.25">
      <c r="A16">
        <v>7</v>
      </c>
      <c r="B16">
        <v>16.2</v>
      </c>
      <c r="K16">
        <f t="shared" si="1"/>
        <v>0.50217067626855527</v>
      </c>
      <c r="L16">
        <f t="shared" si="2"/>
        <v>0.48132935526234627</v>
      </c>
      <c r="P16">
        <f t="shared" si="3"/>
        <v>-7.8125E-3</v>
      </c>
      <c r="Q16">
        <f t="shared" si="4"/>
        <v>-7.9472617168542536E-8</v>
      </c>
      <c r="R16">
        <f t="shared" si="5"/>
        <v>-3.90625E-3</v>
      </c>
      <c r="S16">
        <f t="shared" si="6"/>
        <v>-9.9340998834136773E-9</v>
      </c>
      <c r="T16">
        <f t="shared" si="7"/>
        <v>0</v>
      </c>
      <c r="V16">
        <v>8</v>
      </c>
      <c r="W16">
        <f t="shared" si="8"/>
        <v>2.9179606750063085</v>
      </c>
      <c r="X16">
        <f t="shared" si="9"/>
        <v>3.0557280900008408</v>
      </c>
      <c r="Y16">
        <f t="shared" si="0"/>
        <v>8.5144945008832851E-2</v>
      </c>
      <c r="Z16">
        <f t="shared" si="10"/>
        <v>3.0031056200151411</v>
      </c>
      <c r="AA16">
        <f t="shared" si="11"/>
        <v>2.9705831449920082</v>
      </c>
      <c r="AB16">
        <f t="shared" si="12"/>
        <v>6.0000096448756786</v>
      </c>
      <c r="AC16">
        <f t="shared" si="13"/>
        <v>6.0008653513585628</v>
      </c>
    </row>
    <row r="17" spans="1:29" x14ac:dyDescent="0.25">
      <c r="A17">
        <v>11</v>
      </c>
      <c r="B17">
        <v>16.2</v>
      </c>
      <c r="K17">
        <f t="shared" si="1"/>
        <v>0.48132935526234627</v>
      </c>
      <c r="L17">
        <f t="shared" si="2"/>
        <v>0.46295789853781183</v>
      </c>
      <c r="P17">
        <f t="shared" si="3"/>
        <v>-3.90625E-3</v>
      </c>
      <c r="Q17">
        <f t="shared" si="4"/>
        <v>-9.9340998834136773E-9</v>
      </c>
      <c r="R17">
        <f t="shared" si="5"/>
        <v>-1.953125E-3</v>
      </c>
      <c r="S17">
        <f t="shared" si="6"/>
        <v>-1.2417631959586034E-9</v>
      </c>
      <c r="T17">
        <f t="shared" si="7"/>
        <v>0</v>
      </c>
      <c r="V17">
        <v>9</v>
      </c>
      <c r="W17">
        <f t="shared" si="8"/>
        <v>2.9705831449920082</v>
      </c>
      <c r="X17">
        <f t="shared" si="9"/>
        <v>3.0557280900008408</v>
      </c>
      <c r="Y17">
        <f t="shared" si="0"/>
        <v>5.2622469985699284E-2</v>
      </c>
      <c r="Z17">
        <f t="shared" si="10"/>
        <v>3.0232056149777073</v>
      </c>
      <c r="AA17">
        <f t="shared" si="11"/>
        <v>3.0031056200151416</v>
      </c>
      <c r="AB17">
        <f t="shared" si="12"/>
        <v>6.000538500566492</v>
      </c>
      <c r="AC17">
        <f t="shared" si="13"/>
        <v>6.0000096448756768</v>
      </c>
    </row>
    <row r="18" spans="1:29" x14ac:dyDescent="0.25">
      <c r="A18">
        <v>7</v>
      </c>
      <c r="B18">
        <v>16.2</v>
      </c>
      <c r="K18">
        <f t="shared" si="1"/>
        <v>0.46295789853781183</v>
      </c>
      <c r="L18">
        <f t="shared" si="2"/>
        <v>0.44659659338698193</v>
      </c>
      <c r="P18">
        <f t="shared" si="3"/>
        <v>-1.953125E-3</v>
      </c>
      <c r="Q18">
        <f t="shared" si="4"/>
        <v>-1.2417631959586034E-9</v>
      </c>
      <c r="R18">
        <f t="shared" si="5"/>
        <v>-9.765625E-4</v>
      </c>
      <c r="S18">
        <f t="shared" si="6"/>
        <v>-1.5522042169386491E-10</v>
      </c>
      <c r="T18">
        <f t="shared" si="7"/>
        <v>0</v>
      </c>
      <c r="V18">
        <v>10</v>
      </c>
      <c r="W18">
        <f t="shared" si="8"/>
        <v>2.9705831449920082</v>
      </c>
      <c r="X18">
        <f t="shared" si="9"/>
        <v>3.0232056149777073</v>
      </c>
      <c r="Y18">
        <f t="shared" si="0"/>
        <v>3.2522475023133296E-2</v>
      </c>
      <c r="Z18">
        <f t="shared" si="10"/>
        <v>3.0031056200151416</v>
      </c>
      <c r="AA18">
        <f t="shared" si="11"/>
        <v>2.9906831399545739</v>
      </c>
      <c r="AB18">
        <f t="shared" si="12"/>
        <v>6.0000096448756768</v>
      </c>
      <c r="AC18">
        <f t="shared" si="13"/>
        <v>6.0000868038811035</v>
      </c>
    </row>
    <row r="19" spans="1:29" x14ac:dyDescent="0.25">
      <c r="K19">
        <f t="shared" si="1"/>
        <v>0.44659659338698193</v>
      </c>
      <c r="L19">
        <f t="shared" si="2"/>
        <v>0.43189843326582245</v>
      </c>
      <c r="P19">
        <f t="shared" si="3"/>
        <v>-9.765625E-4</v>
      </c>
      <c r="Q19">
        <f t="shared" si="4"/>
        <v>-1.5522042169386491E-10</v>
      </c>
      <c r="R19">
        <f t="shared" si="5"/>
        <v>-4.8828125E-4</v>
      </c>
      <c r="S19">
        <f t="shared" si="6"/>
        <v>-1.9402553402911998E-11</v>
      </c>
      <c r="T19">
        <f t="shared" si="7"/>
        <v>0</v>
      </c>
      <c r="V19">
        <v>11</v>
      </c>
      <c r="W19">
        <f t="shared" si="8"/>
        <v>2.9906831399545739</v>
      </c>
      <c r="X19">
        <f t="shared" si="9"/>
        <v>3.0232056149777073</v>
      </c>
      <c r="Y19">
        <f t="shared" si="0"/>
        <v>2.0099994962565988E-2</v>
      </c>
      <c r="Z19">
        <f t="shared" si="10"/>
        <v>3.0107831349171401</v>
      </c>
      <c r="AA19">
        <f t="shared" si="11"/>
        <v>3.0031056200151411</v>
      </c>
      <c r="AB19">
        <f t="shared" si="12"/>
        <v>6.0001162759986428</v>
      </c>
      <c r="AC19">
        <f t="shared" si="13"/>
        <v>6.0000096448756786</v>
      </c>
    </row>
    <row r="20" spans="1:29" x14ac:dyDescent="0.25">
      <c r="K20">
        <f t="shared" si="1"/>
        <v>0.43189843326582245</v>
      </c>
      <c r="L20">
        <f t="shared" si="2"/>
        <v>0.41859566099821055</v>
      </c>
      <c r="P20">
        <f t="shared" si="3"/>
        <v>-4.8828125E-4</v>
      </c>
      <c r="Q20">
        <f t="shared" si="4"/>
        <v>-1.9402553402911998E-11</v>
      </c>
      <c r="R20">
        <f t="shared" si="5"/>
        <v>-2.44140625E-4</v>
      </c>
      <c r="S20">
        <f t="shared" si="6"/>
        <v>-2.4253191956927905E-12</v>
      </c>
      <c r="T20">
        <f t="shared" si="7"/>
        <v>0</v>
      </c>
      <c r="V20">
        <v>12</v>
      </c>
      <c r="W20">
        <f t="shared" si="8"/>
        <v>2.9906831399545739</v>
      </c>
      <c r="X20">
        <f t="shared" si="9"/>
        <v>3.0107831349171401</v>
      </c>
      <c r="Y20">
        <f t="shared" si="0"/>
        <v>1.2422480060567585E-2</v>
      </c>
      <c r="Z20">
        <f t="shared" si="10"/>
        <v>3.0031056200151416</v>
      </c>
      <c r="AA20">
        <f t="shared" si="11"/>
        <v>2.9983606548565724</v>
      </c>
      <c r="AB20">
        <f t="shared" si="12"/>
        <v>6.0000096448756768</v>
      </c>
      <c r="AC20">
        <f t="shared" si="13"/>
        <v>6.0000026874524988</v>
      </c>
    </row>
    <row r="21" spans="1:29" x14ac:dyDescent="0.25">
      <c r="K21">
        <f t="shared" si="1"/>
        <v>0.41859566099821055</v>
      </c>
      <c r="L21">
        <f t="shared" si="2"/>
        <v>0.40647776498406868</v>
      </c>
      <c r="P21">
        <f t="shared" si="3"/>
        <v>-2.44140625E-4</v>
      </c>
      <c r="Q21">
        <f t="shared" si="4"/>
        <v>-2.4253191956927905E-12</v>
      </c>
      <c r="R21">
        <f t="shared" si="5"/>
        <v>-1.220703125E-4</v>
      </c>
      <c r="S21">
        <f t="shared" si="6"/>
        <v>-3.0316489607346703E-13</v>
      </c>
      <c r="T21">
        <f t="shared" si="7"/>
        <v>0</v>
      </c>
      <c r="V21">
        <v>13</v>
      </c>
      <c r="W21">
        <f t="shared" si="8"/>
        <v>2.9906831399545739</v>
      </c>
      <c r="X21">
        <f t="shared" si="9"/>
        <v>3.0031056200151416</v>
      </c>
      <c r="Y21">
        <f t="shared" si="0"/>
        <v>7.6775149019986761E-3</v>
      </c>
      <c r="Z21">
        <f t="shared" si="10"/>
        <v>2.9983606548565724</v>
      </c>
      <c r="AA21">
        <f t="shared" si="11"/>
        <v>2.9954281051131431</v>
      </c>
      <c r="AB21">
        <f t="shared" si="12"/>
        <v>6.0000026874524988</v>
      </c>
      <c r="AC21">
        <f t="shared" si="13"/>
        <v>6.0000209022228574</v>
      </c>
    </row>
    <row r="22" spans="1:29" x14ac:dyDescent="0.25">
      <c r="K22">
        <f t="shared" si="1"/>
        <v>0.40647776498406868</v>
      </c>
      <c r="L22">
        <f t="shared" si="2"/>
        <v>0.39537654698883457</v>
      </c>
      <c r="P22">
        <f t="shared" si="3"/>
        <v>-1.220703125E-4</v>
      </c>
      <c r="Q22">
        <f t="shared" si="4"/>
        <v>-3.0316489607346703E-13</v>
      </c>
      <c r="R22">
        <f t="shared" si="5"/>
        <v>-6.103515625E-5</v>
      </c>
      <c r="S22">
        <f t="shared" si="6"/>
        <v>-3.7895610315117484E-14</v>
      </c>
      <c r="T22">
        <f t="shared" si="7"/>
        <v>0</v>
      </c>
      <c r="V22">
        <v>14</v>
      </c>
      <c r="W22">
        <f t="shared" si="8"/>
        <v>2.9954281051131431</v>
      </c>
      <c r="X22">
        <f t="shared" si="9"/>
        <v>3.0031056200151416</v>
      </c>
      <c r="Y22">
        <f t="shared" si="0"/>
        <v>4.7449651585689083E-3</v>
      </c>
      <c r="Z22">
        <f t="shared" si="10"/>
        <v>3.0001730702717118</v>
      </c>
      <c r="AA22">
        <f t="shared" si="11"/>
        <v>2.9983606548565729</v>
      </c>
      <c r="AB22">
        <f t="shared" si="12"/>
        <v>6.0000000299533198</v>
      </c>
      <c r="AC22">
        <f t="shared" si="13"/>
        <v>6.0000026874524988</v>
      </c>
    </row>
    <row r="23" spans="1:29" x14ac:dyDescent="0.25">
      <c r="K23">
        <f>L22</f>
        <v>0.39537654698883457</v>
      </c>
      <c r="L23">
        <f>SIN(K23)</f>
        <v>0.38515571309652635</v>
      </c>
      <c r="P23">
        <f>IF(Q22*S22 &lt;=0,P22,R22)</f>
        <v>-6.103515625E-5</v>
      </c>
      <c r="Q23">
        <f>P23-SIN(P23)</f>
        <v>-3.7895610315117484E-14</v>
      </c>
      <c r="R23">
        <f>(P23+T23)/2</f>
        <v>-3.0517578125E-5</v>
      </c>
      <c r="S23">
        <f>R23-SIN(R23)</f>
        <v>-4.7369504423567382E-15</v>
      </c>
      <c r="T23">
        <f>IF(Q22*S22&gt;0,T22,R22)</f>
        <v>0</v>
      </c>
      <c r="V23">
        <v>15</v>
      </c>
      <c r="W23">
        <f t="shared" si="8"/>
        <v>2.9983606548565729</v>
      </c>
      <c r="X23">
        <f t="shared" si="9"/>
        <v>3.0031056200151416</v>
      </c>
      <c r="Y23">
        <f t="shared" si="0"/>
        <v>2.9325497434294933E-3</v>
      </c>
      <c r="Z23">
        <f t="shared" si="10"/>
        <v>3.0012932046000023</v>
      </c>
      <c r="AA23">
        <f t="shared" si="11"/>
        <v>3.0001730702717122</v>
      </c>
      <c r="AB23">
        <f t="shared" si="12"/>
        <v>6.00000167237814</v>
      </c>
      <c r="AC23">
        <f t="shared" si="13"/>
        <v>6.0000000299533198</v>
      </c>
    </row>
    <row r="24" spans="1:29" x14ac:dyDescent="0.25">
      <c r="K24">
        <f t="shared" si="1"/>
        <v>0.38515571309652635</v>
      </c>
      <c r="L24">
        <f t="shared" si="2"/>
        <v>0.37570344684771517</v>
      </c>
      <c r="P24">
        <f t="shared" ref="P24:P28" si="14">IF(Q23*S23 &lt;=0,P23,R23)</f>
        <v>-3.0517578125E-5</v>
      </c>
      <c r="Q24">
        <f t="shared" si="4"/>
        <v>-4.7369504423567382E-15</v>
      </c>
      <c r="R24">
        <f t="shared" ref="R24:R28" si="15">(P24+T24)/2</f>
        <v>-1.52587890625E-5</v>
      </c>
      <c r="S24">
        <f t="shared" si="6"/>
        <v>-5.9211838177811865E-16</v>
      </c>
      <c r="T24">
        <f t="shared" ref="T24:T28" si="16">IF(Q23*S23&gt;0,T23,R23)</f>
        <v>0</v>
      </c>
      <c r="V24">
        <v>16</v>
      </c>
      <c r="W24">
        <f t="shared" si="8"/>
        <v>2.9983606548565729</v>
      </c>
      <c r="X24">
        <f t="shared" si="9"/>
        <v>3.0012932046000023</v>
      </c>
      <c r="Y24">
        <f t="shared" si="0"/>
        <v>1.8124154151391407E-3</v>
      </c>
      <c r="Z24">
        <f t="shared" si="10"/>
        <v>3.0001730702717122</v>
      </c>
      <c r="AA24">
        <f t="shared" si="11"/>
        <v>2.9994807891848629</v>
      </c>
      <c r="AB24">
        <f t="shared" si="12"/>
        <v>6.0000000299533198</v>
      </c>
      <c r="AC24">
        <f t="shared" si="13"/>
        <v>6.0000002695798713</v>
      </c>
    </row>
    <row r="25" spans="1:29" x14ac:dyDescent="0.25">
      <c r="K25">
        <f t="shared" si="1"/>
        <v>0.37570344684771517</v>
      </c>
      <c r="L25">
        <f t="shared" si="2"/>
        <v>0.36692700106279141</v>
      </c>
      <c r="P25">
        <f t="shared" si="14"/>
        <v>-1.52587890625E-5</v>
      </c>
      <c r="Q25">
        <f t="shared" si="4"/>
        <v>-5.9211838177811865E-16</v>
      </c>
      <c r="R25">
        <f t="shared" si="15"/>
        <v>-7.62939453125E-6</v>
      </c>
      <c r="S25">
        <f t="shared" si="6"/>
        <v>-7.4014585964028018E-17</v>
      </c>
      <c r="T25">
        <f t="shared" si="16"/>
        <v>0</v>
      </c>
      <c r="V25">
        <v>17</v>
      </c>
      <c r="W25">
        <f t="shared" si="8"/>
        <v>2.9994807891848629</v>
      </c>
      <c r="X25">
        <f t="shared" si="9"/>
        <v>3.0012932046000023</v>
      </c>
      <c r="Y25">
        <f t="shared" si="0"/>
        <v>1.1201343282903526E-3</v>
      </c>
      <c r="Z25">
        <f t="shared" si="10"/>
        <v>3.0006009235131534</v>
      </c>
      <c r="AA25">
        <f t="shared" si="11"/>
        <v>3.0001730702717118</v>
      </c>
      <c r="AB25">
        <f t="shared" si="12"/>
        <v>6.0000003611090698</v>
      </c>
      <c r="AC25">
        <f t="shared" si="13"/>
        <v>6.0000000299533198</v>
      </c>
    </row>
    <row r="26" spans="1:29" x14ac:dyDescent="0.25">
      <c r="K26">
        <f t="shared" si="1"/>
        <v>0.36692700106279141</v>
      </c>
      <c r="L26">
        <f t="shared" si="2"/>
        <v>0.3587486881078098</v>
      </c>
      <c r="P26">
        <f t="shared" si="14"/>
        <v>-7.62939453125E-6</v>
      </c>
      <c r="Q26">
        <f t="shared" si="4"/>
        <v>-7.4014585964028018E-17</v>
      </c>
      <c r="R26">
        <f t="shared" si="15"/>
        <v>-3.814697265625E-6</v>
      </c>
      <c r="S26">
        <f t="shared" si="6"/>
        <v>-9.2517173663850955E-18</v>
      </c>
      <c r="T26">
        <f t="shared" si="16"/>
        <v>0</v>
      </c>
      <c r="V26">
        <v>18</v>
      </c>
      <c r="W26">
        <f t="shared" si="8"/>
        <v>2.9994807891848629</v>
      </c>
      <c r="X26">
        <f t="shared" si="9"/>
        <v>3.0006009235131534</v>
      </c>
      <c r="Y26">
        <f t="shared" si="0"/>
        <v>6.9228108684906244E-4</v>
      </c>
      <c r="Z26">
        <f t="shared" si="10"/>
        <v>3.0001730702717122</v>
      </c>
      <c r="AA26">
        <f t="shared" si="11"/>
        <v>2.9999086424263042</v>
      </c>
      <c r="AB26">
        <f t="shared" si="12"/>
        <v>6.0000000299533198</v>
      </c>
      <c r="AC26">
        <f t="shared" si="13"/>
        <v>6.0000000083462055</v>
      </c>
    </row>
    <row r="27" spans="1:29" x14ac:dyDescent="0.25">
      <c r="K27">
        <f t="shared" si="1"/>
        <v>0.3587486881078098</v>
      </c>
      <c r="L27">
        <f t="shared" si="2"/>
        <v>0.35110285896317867</v>
      </c>
      <c r="P27">
        <f t="shared" si="14"/>
        <v>-3.814697265625E-6</v>
      </c>
      <c r="Q27">
        <f t="shared" si="4"/>
        <v>-9.2517173663850955E-18</v>
      </c>
      <c r="R27">
        <f t="shared" si="15"/>
        <v>-1.9073486328125E-6</v>
      </c>
      <c r="S27">
        <f t="shared" si="6"/>
        <v>-1.1564117312389335E-18</v>
      </c>
      <c r="T27">
        <f t="shared" si="16"/>
        <v>0</v>
      </c>
      <c r="V27">
        <v>19</v>
      </c>
      <c r="W27">
        <f t="shared" si="8"/>
        <v>2.9994807891848629</v>
      </c>
      <c r="X27">
        <f t="shared" si="9"/>
        <v>3.0001730702717122</v>
      </c>
      <c r="Y27">
        <f t="shared" si="0"/>
        <v>4.2785324144156478E-4</v>
      </c>
      <c r="Z27">
        <f t="shared" si="10"/>
        <v>2.9999086424263046</v>
      </c>
      <c r="AA27">
        <f t="shared" si="11"/>
        <v>2.9997452170302705</v>
      </c>
      <c r="AB27">
        <f t="shared" si="12"/>
        <v>6.0000000083462073</v>
      </c>
      <c r="AC27">
        <f t="shared" si="13"/>
        <v>6.0000000649143601</v>
      </c>
    </row>
    <row r="28" spans="1:29" x14ac:dyDescent="0.25">
      <c r="K28">
        <f t="shared" si="1"/>
        <v>0.35110285896317867</v>
      </c>
      <c r="L28">
        <f t="shared" si="2"/>
        <v>0.34393359432864817</v>
      </c>
      <c r="P28">
        <f t="shared" si="14"/>
        <v>-1.9073486328125E-6</v>
      </c>
      <c r="Q28">
        <f t="shared" si="4"/>
        <v>-1.1564117312389335E-18</v>
      </c>
      <c r="R28">
        <f t="shared" si="15"/>
        <v>-9.5367431640625E-7</v>
      </c>
      <c r="S28">
        <f t="shared" si="6"/>
        <v>-1.44524996625265E-19</v>
      </c>
      <c r="T28">
        <f t="shared" si="16"/>
        <v>0</v>
      </c>
      <c r="V28">
        <v>20</v>
      </c>
      <c r="W28">
        <f t="shared" si="8"/>
        <v>2.9997452170302705</v>
      </c>
      <c r="X28">
        <f t="shared" si="9"/>
        <v>3.0001730702717122</v>
      </c>
      <c r="Y28">
        <f t="shared" si="0"/>
        <v>2.6442784540777213E-4</v>
      </c>
      <c r="Z28">
        <f t="shared" si="10"/>
        <v>3.0000096448756781</v>
      </c>
      <c r="AA28">
        <f t="shared" si="11"/>
        <v>2.9999086424263046</v>
      </c>
      <c r="AB28">
        <f t="shared" si="12"/>
        <v>6.0000000000930243</v>
      </c>
      <c r="AC28">
        <f t="shared" si="13"/>
        <v>6.0000000083462073</v>
      </c>
    </row>
    <row r="29" spans="1:29" x14ac:dyDescent="0.25">
      <c r="K29">
        <f>L28</f>
        <v>0.34393359432864817</v>
      </c>
      <c r="L29">
        <f>SIN(K29)</f>
        <v>0.33719291693600184</v>
      </c>
      <c r="V29">
        <v>21</v>
      </c>
      <c r="W29">
        <f t="shared" si="8"/>
        <v>2.9999086424263046</v>
      </c>
      <c r="X29">
        <f t="shared" si="9"/>
        <v>3.0001730702717122</v>
      </c>
      <c r="Y29">
        <f t="shared" si="0"/>
        <v>1.6342539603379268E-4</v>
      </c>
      <c r="Z29">
        <f t="shared" si="10"/>
        <v>3.0000720678223383</v>
      </c>
      <c r="AA29">
        <f t="shared" si="11"/>
        <v>3.0000096448756786</v>
      </c>
      <c r="AB29">
        <f t="shared" si="12"/>
        <v>6.000000005193769</v>
      </c>
      <c r="AC29">
        <f t="shared" si="13"/>
        <v>6.0000000000930243</v>
      </c>
    </row>
    <row r="30" spans="1:29" x14ac:dyDescent="0.25">
      <c r="K30">
        <f t="shared" si="1"/>
        <v>0.33719291693600184</v>
      </c>
      <c r="L30">
        <f t="shared" si="2"/>
        <v>0.33083939107035759</v>
      </c>
      <c r="V30">
        <v>22</v>
      </c>
      <c r="W30">
        <f t="shared" si="8"/>
        <v>2.9999086424263046</v>
      </c>
      <c r="X30">
        <f t="shared" si="9"/>
        <v>3.0000720678223383</v>
      </c>
      <c r="Y30">
        <f t="shared" si="0"/>
        <v>1.0100244937370496E-4</v>
      </c>
      <c r="Z30">
        <f t="shared" si="10"/>
        <v>3.0000096448756781</v>
      </c>
      <c r="AA30">
        <f t="shared" si="11"/>
        <v>2.9999710653729648</v>
      </c>
      <c r="AB30">
        <f t="shared" si="12"/>
        <v>6.0000000000930243</v>
      </c>
      <c r="AC30">
        <f t="shared" si="13"/>
        <v>6.0000000008372112</v>
      </c>
    </row>
    <row r="31" spans="1:29" x14ac:dyDescent="0.25">
      <c r="K31">
        <f t="shared" si="1"/>
        <v>0.33083939107035759</v>
      </c>
      <c r="L31">
        <f t="shared" si="2"/>
        <v>0.32483701364027001</v>
      </c>
      <c r="V31">
        <v>23</v>
      </c>
      <c r="W31">
        <f t="shared" si="8"/>
        <v>2.9999710653729648</v>
      </c>
      <c r="X31">
        <f t="shared" si="9"/>
        <v>3.0000720678223383</v>
      </c>
      <c r="Y31">
        <f t="shared" si="0"/>
        <v>6.2422946659813263E-5</v>
      </c>
      <c r="Z31">
        <f t="shared" si="10"/>
        <v>3.0000334883196245</v>
      </c>
      <c r="AA31">
        <f t="shared" si="11"/>
        <v>3.0000096448756786</v>
      </c>
      <c r="AB31">
        <f t="shared" si="12"/>
        <v>6.0000000011214691</v>
      </c>
      <c r="AC31">
        <f t="shared" si="13"/>
        <v>6.0000000000930243</v>
      </c>
    </row>
    <row r="32" spans="1:29" x14ac:dyDescent="0.25">
      <c r="K32">
        <f t="shared" si="1"/>
        <v>0.32483701364027001</v>
      </c>
      <c r="L32">
        <f t="shared" si="2"/>
        <v>0.3191543274743433</v>
      </c>
      <c r="V32">
        <v>24</v>
      </c>
      <c r="W32">
        <f t="shared" si="8"/>
        <v>2.9999710653729648</v>
      </c>
      <c r="X32">
        <f t="shared" si="9"/>
        <v>3.0000334883196245</v>
      </c>
      <c r="Y32">
        <f t="shared" si="0"/>
        <v>3.8579502713617246E-5</v>
      </c>
      <c r="Z32">
        <f t="shared" si="10"/>
        <v>3.0000096448756786</v>
      </c>
      <c r="AA32">
        <f t="shared" si="11"/>
        <v>2.9999949088169107</v>
      </c>
      <c r="AB32">
        <f t="shared" si="12"/>
        <v>6.0000000000930243</v>
      </c>
      <c r="AC32">
        <f t="shared" si="13"/>
        <v>6.0000000000259206</v>
      </c>
    </row>
    <row r="33" spans="11:29" x14ac:dyDescent="0.25">
      <c r="K33">
        <f t="shared" si="1"/>
        <v>0.3191543274743433</v>
      </c>
      <c r="L33">
        <f t="shared" si="2"/>
        <v>0.31376370591532515</v>
      </c>
      <c r="V33">
        <v>25</v>
      </c>
      <c r="W33">
        <f t="shared" si="8"/>
        <v>2.9999710653729648</v>
      </c>
      <c r="X33">
        <f t="shared" si="9"/>
        <v>3.0000096448756786</v>
      </c>
      <c r="Y33">
        <f t="shared" si="0"/>
        <v>2.3843443946196013E-5</v>
      </c>
      <c r="Z33">
        <f t="shared" si="10"/>
        <v>2.9999949088169111</v>
      </c>
      <c r="AA33">
        <f t="shared" si="11"/>
        <v>2.9999858014317322</v>
      </c>
      <c r="AB33">
        <f t="shared" si="12"/>
        <v>6.0000000000259188</v>
      </c>
      <c r="AC33">
        <f t="shared" si="13"/>
        <v>6.0000000002015987</v>
      </c>
    </row>
    <row r="34" spans="11:29" x14ac:dyDescent="0.25">
      <c r="K34">
        <f t="shared" si="1"/>
        <v>0.31376370591532515</v>
      </c>
      <c r="L34">
        <f t="shared" si="2"/>
        <v>0.30864077082276553</v>
      </c>
      <c r="V34">
        <v>26</v>
      </c>
      <c r="W34">
        <f t="shared" si="8"/>
        <v>2.9999858014317322</v>
      </c>
      <c r="X34">
        <f t="shared" si="9"/>
        <v>3.0000096448756786</v>
      </c>
      <c r="Y34">
        <f t="shared" si="0"/>
        <v>1.4736058767695692E-5</v>
      </c>
      <c r="Z34">
        <f t="shared" si="10"/>
        <v>3.0000005374905001</v>
      </c>
      <c r="AA34">
        <f t="shared" si="11"/>
        <v>2.9999949088169107</v>
      </c>
      <c r="AB34">
        <f t="shared" si="12"/>
        <v>6.0000000000002895</v>
      </c>
      <c r="AC34">
        <f t="shared" si="13"/>
        <v>6.0000000000259206</v>
      </c>
    </row>
    <row r="35" spans="11:29" x14ac:dyDescent="0.25">
      <c r="K35">
        <f t="shared" si="1"/>
        <v>0.30864077082276553</v>
      </c>
      <c r="L35">
        <f t="shared" si="2"/>
        <v>0.30376391546889986</v>
      </c>
      <c r="V35">
        <v>27</v>
      </c>
      <c r="W35">
        <f t="shared" si="8"/>
        <v>2.9999949088169107</v>
      </c>
      <c r="X35">
        <f t="shared" si="9"/>
        <v>3.0000096448756786</v>
      </c>
      <c r="Y35">
        <f t="shared" si="0"/>
        <v>9.1073851787747815E-6</v>
      </c>
      <c r="Z35">
        <f t="shared" si="10"/>
        <v>3.0000040162020896</v>
      </c>
      <c r="AA35">
        <f t="shared" si="11"/>
        <v>3.0000005374904997</v>
      </c>
      <c r="AB35">
        <f t="shared" si="12"/>
        <v>6.0000000000161293</v>
      </c>
      <c r="AC35">
        <f t="shared" si="13"/>
        <v>6.0000000000002895</v>
      </c>
    </row>
    <row r="36" spans="11:29" x14ac:dyDescent="0.25">
      <c r="K36">
        <f t="shared" si="1"/>
        <v>0.30376391546889986</v>
      </c>
      <c r="L36">
        <f t="shared" si="2"/>
        <v>0.29911391063670995</v>
      </c>
    </row>
    <row r="37" spans="11:29" x14ac:dyDescent="0.25">
      <c r="K37">
        <f>L36</f>
        <v>0.29911391063670995</v>
      </c>
      <c r="L37">
        <f>SIN(K37)</f>
        <v>0.29467357725625476</v>
      </c>
    </row>
    <row r="38" spans="11:29" x14ac:dyDescent="0.25">
      <c r="K38">
        <f t="shared" si="1"/>
        <v>0.29467357725625476</v>
      </c>
      <c r="L38">
        <f t="shared" si="2"/>
        <v>0.29042751265924327</v>
      </c>
    </row>
    <row r="39" spans="11:29" x14ac:dyDescent="0.25">
      <c r="K39">
        <f t="shared" si="1"/>
        <v>0.29042751265924327</v>
      </c>
      <c r="L39">
        <f t="shared" si="2"/>
        <v>0.28636186034845545</v>
      </c>
    </row>
    <row r="40" spans="11:29" x14ac:dyDescent="0.25">
      <c r="K40">
        <f t="shared" si="1"/>
        <v>0.28636186034845545</v>
      </c>
      <c r="L40">
        <f t="shared" si="2"/>
        <v>0.28246411531779064</v>
      </c>
    </row>
    <row r="41" spans="11:29" x14ac:dyDescent="0.25">
      <c r="K41">
        <f t="shared" si="1"/>
        <v>0.28246411531779064</v>
      </c>
      <c r="L41">
        <f t="shared" si="2"/>
        <v>0.27872295859781265</v>
      </c>
    </row>
    <row r="42" spans="11:29" x14ac:dyDescent="0.25">
      <c r="K42">
        <f t="shared" si="1"/>
        <v>0.27872295859781265</v>
      </c>
      <c r="L42">
        <f t="shared" si="2"/>
        <v>0.27512811596801695</v>
      </c>
    </row>
    <row r="43" spans="11:29" x14ac:dyDescent="0.25">
      <c r="K43">
        <f t="shared" si="1"/>
        <v>0.27512811596801695</v>
      </c>
      <c r="L43">
        <f t="shared" si="2"/>
        <v>0.27167023676306845</v>
      </c>
    </row>
    <row r="44" spans="11:29" x14ac:dyDescent="0.25">
      <c r="K44">
        <f t="shared" si="1"/>
        <v>0.27167023676306845</v>
      </c>
      <c r="L44">
        <f t="shared" si="2"/>
        <v>0.26834078947364054</v>
      </c>
    </row>
    <row r="45" spans="11:29" x14ac:dyDescent="0.25">
      <c r="K45">
        <f t="shared" si="1"/>
        <v>0.26834078947364054</v>
      </c>
      <c r="L45">
        <f t="shared" si="2"/>
        <v>0.26513197145328243</v>
      </c>
    </row>
    <row r="46" spans="11:29" x14ac:dyDescent="0.25">
      <c r="K46">
        <f t="shared" si="1"/>
        <v>0.26513197145328243</v>
      </c>
      <c r="L46">
        <f t="shared" si="2"/>
        <v>0.2620366305282813</v>
      </c>
    </row>
    <row r="47" spans="11:29" x14ac:dyDescent="0.25">
      <c r="K47">
        <f>L46</f>
        <v>0.2620366305282813</v>
      </c>
      <c r="L47">
        <f>SIN(K47)</f>
        <v>0.25904819669583878</v>
      </c>
    </row>
    <row r="48" spans="11:29" x14ac:dyDescent="0.25">
      <c r="K48">
        <f t="shared" si="1"/>
        <v>0.25904819669583878</v>
      </c>
      <c r="L48">
        <f t="shared" si="2"/>
        <v>0.25616062240831639</v>
      </c>
    </row>
    <row r="49" spans="11:12" x14ac:dyDescent="0.25">
      <c r="K49">
        <f t="shared" si="1"/>
        <v>0.25616062240831639</v>
      </c>
      <c r="L49">
        <f t="shared" si="2"/>
        <v>0.2533683301940568</v>
      </c>
    </row>
    <row r="50" spans="11:12" x14ac:dyDescent="0.25">
      <c r="K50">
        <f t="shared" si="1"/>
        <v>0.2533683301940568</v>
      </c>
      <c r="L50">
        <f t="shared" si="2"/>
        <v>0.25066616657083529</v>
      </c>
    </row>
    <row r="51" spans="11:12" x14ac:dyDescent="0.25">
      <c r="K51">
        <f t="shared" si="1"/>
        <v>0.25066616657083529</v>
      </c>
      <c r="L51">
        <f t="shared" si="2"/>
        <v>0.24804936137599098</v>
      </c>
    </row>
    <row r="52" spans="11:12" x14ac:dyDescent="0.25">
      <c r="K52">
        <f t="shared" si="1"/>
        <v>0.24804936137599098</v>
      </c>
      <c r="L52">
        <f t="shared" si="2"/>
        <v>0.24551349177524767</v>
      </c>
    </row>
    <row r="53" spans="11:12" x14ac:dyDescent="0.25">
      <c r="K53">
        <f t="shared" si="1"/>
        <v>0.24551349177524767</v>
      </c>
      <c r="L53">
        <f t="shared" si="2"/>
        <v>0.24305445032604081</v>
      </c>
    </row>
    <row r="54" spans="11:12" x14ac:dyDescent="0.25">
      <c r="K54">
        <f>L53</f>
        <v>0.24305445032604081</v>
      </c>
      <c r="L54">
        <f>SIN(K54)</f>
        <v>0.24066841656546079</v>
      </c>
    </row>
    <row r="55" spans="11:12" x14ac:dyDescent="0.25">
      <c r="K55">
        <f t="shared" si="1"/>
        <v>0.24066841656546079</v>
      </c>
      <c r="L55">
        <f t="shared" si="2"/>
        <v>0.23835183167136928</v>
      </c>
    </row>
    <row r="56" spans="11:12" x14ac:dyDescent="0.25">
      <c r="K56">
        <f t="shared" si="1"/>
        <v>0.23835183167136928</v>
      </c>
      <c r="L56">
        <f t="shared" si="2"/>
        <v>0.23610137581076918</v>
      </c>
    </row>
    <row r="57" spans="11:12" x14ac:dyDescent="0.25">
      <c r="K57">
        <f t="shared" si="1"/>
        <v>0.23610137581076918</v>
      </c>
      <c r="L57">
        <f t="shared" si="2"/>
        <v>0.23391394784444508</v>
      </c>
    </row>
    <row r="58" spans="11:12" x14ac:dyDescent="0.25">
      <c r="K58">
        <f t="shared" si="1"/>
        <v>0.23391394784444508</v>
      </c>
      <c r="L58">
        <f t="shared" si="2"/>
        <v>0.23178664710311944</v>
      </c>
    </row>
    <row r="59" spans="11:12" x14ac:dyDescent="0.25">
      <c r="K59">
        <f t="shared" si="1"/>
        <v>0.23178664710311944</v>
      </c>
      <c r="L59">
        <f t="shared" si="2"/>
        <v>0.22971675698940525</v>
      </c>
    </row>
    <row r="60" spans="11:12" x14ac:dyDescent="0.25">
      <c r="K60">
        <f t="shared" si="1"/>
        <v>0.22971675698940525</v>
      </c>
      <c r="L60">
        <f t="shared" si="2"/>
        <v>0.2277017301929086</v>
      </c>
    </row>
    <row r="61" spans="11:12" x14ac:dyDescent="0.25">
      <c r="K61">
        <f t="shared" si="1"/>
        <v>0.2277017301929086</v>
      </c>
      <c r="L61">
        <f t="shared" si="2"/>
        <v>0.22573917533394591</v>
      </c>
    </row>
    <row r="62" spans="11:12" x14ac:dyDescent="0.25">
      <c r="K62">
        <f t="shared" si="1"/>
        <v>0.22573917533394591</v>
      </c>
      <c r="L62">
        <f t="shared" si="2"/>
        <v>0.22382684487530777</v>
      </c>
    </row>
    <row r="63" spans="11:12" x14ac:dyDescent="0.25">
      <c r="K63">
        <f t="shared" si="1"/>
        <v>0.22382684487530777</v>
      </c>
      <c r="L63">
        <f t="shared" si="2"/>
        <v>0.22196262416199697</v>
      </c>
    </row>
    <row r="64" spans="11:12" x14ac:dyDescent="0.25">
      <c r="K64">
        <f t="shared" si="1"/>
        <v>0.22196262416199697</v>
      </c>
      <c r="L64">
        <f t="shared" si="2"/>
        <v>0.22014452146644614</v>
      </c>
    </row>
    <row r="65" spans="11:12" x14ac:dyDescent="0.25">
      <c r="K65">
        <f t="shared" si="1"/>
        <v>0.22014452146644614</v>
      </c>
      <c r="L65">
        <f t="shared" si="2"/>
        <v>0.21837065893183516</v>
      </c>
    </row>
    <row r="66" spans="11:12" x14ac:dyDescent="0.25">
      <c r="K66">
        <f t="shared" si="1"/>
        <v>0.21837065893183516</v>
      </c>
      <c r="L66">
        <f t="shared" si="2"/>
        <v>0.21663926431916319</v>
      </c>
    </row>
    <row r="67" spans="11:12" x14ac:dyDescent="0.25">
      <c r="K67">
        <f>L66</f>
        <v>0.21663926431916319</v>
      </c>
      <c r="L67">
        <f>SIN(K67)</f>
        <v>0.21494866347499728</v>
      </c>
    </row>
    <row r="68" spans="11:12" x14ac:dyDescent="0.25">
      <c r="K68">
        <f t="shared" si="1"/>
        <v>0.21494866347499728</v>
      </c>
      <c r="L68">
        <f t="shared" si="2"/>
        <v>0.213297273446584</v>
      </c>
    </row>
    <row r="69" spans="11:12" x14ac:dyDescent="0.25">
      <c r="K69">
        <f t="shared" si="1"/>
        <v>0.213297273446584</v>
      </c>
      <c r="L69">
        <f t="shared" si="2"/>
        <v>0.21168359617949414</v>
      </c>
    </row>
    <row r="70" spans="11:12" x14ac:dyDescent="0.25">
      <c r="K70">
        <f t="shared" si="1"/>
        <v>0.21168359617949414</v>
      </c>
      <c r="L70">
        <f t="shared" si="2"/>
        <v>0.2101062127403556</v>
      </c>
    </row>
    <row r="71" spans="11:12" x14ac:dyDescent="0.25">
      <c r="K71">
        <f t="shared" si="1"/>
        <v>0.2101062127403556</v>
      </c>
      <c r="L71">
        <f t="shared" si="2"/>
        <v>0.20856377801367629</v>
      </c>
    </row>
    <row r="72" spans="11:12" x14ac:dyDescent="0.25">
      <c r="K72">
        <f t="shared" si="1"/>
        <v>0.20856377801367629</v>
      </c>
      <c r="L72">
        <f t="shared" si="2"/>
        <v>0.20705501582739599</v>
      </c>
    </row>
    <row r="73" spans="11:12" x14ac:dyDescent="0.25">
      <c r="K73">
        <f>L72</f>
        <v>0.20705501582739599</v>
      </c>
      <c r="L73">
        <f>SIN(K73)</f>
        <v>0.2055787144667463</v>
      </c>
    </row>
    <row r="74" spans="11:12" x14ac:dyDescent="0.25">
      <c r="K74">
        <f t="shared" si="1"/>
        <v>0.2055787144667463</v>
      </c>
      <c r="L74">
        <f t="shared" si="2"/>
        <v>0.20413372254033779</v>
      </c>
    </row>
    <row r="75" spans="11:12" x14ac:dyDescent="0.25">
      <c r="K75">
        <f t="shared" ref="K75:K84" si="17">L74</f>
        <v>0.20413372254033779</v>
      </c>
      <c r="L75">
        <f t="shared" ref="L75:L84" si="18">SIN(K75)</f>
        <v>0.20271894516621039</v>
      </c>
    </row>
    <row r="76" spans="11:12" x14ac:dyDescent="0.25">
      <c r="K76">
        <f t="shared" si="17"/>
        <v>0.20271894516621039</v>
      </c>
      <c r="L76">
        <f t="shared" si="18"/>
        <v>0.20133334044895029</v>
      </c>
    </row>
    <row r="77" spans="11:12" x14ac:dyDescent="0.25">
      <c r="K77">
        <f t="shared" si="17"/>
        <v>0.20133334044895029</v>
      </c>
      <c r="L77">
        <f t="shared" si="18"/>
        <v>0.19997591622194885</v>
      </c>
    </row>
    <row r="78" spans="11:12" x14ac:dyDescent="0.25">
      <c r="K78">
        <f t="shared" si="17"/>
        <v>0.19997591622194885</v>
      </c>
      <c r="L78">
        <f t="shared" si="18"/>
        <v>0.19864572703151051</v>
      </c>
    </row>
    <row r="79" spans="11:12" x14ac:dyDescent="0.25">
      <c r="K79">
        <f t="shared" si="17"/>
        <v>0.19864572703151051</v>
      </c>
      <c r="L79">
        <f t="shared" si="18"/>
        <v>0.19734187134184852</v>
      </c>
    </row>
    <row r="80" spans="11:12" x14ac:dyDescent="0.25">
      <c r="K80">
        <f t="shared" si="17"/>
        <v>0.19734187134184852</v>
      </c>
      <c r="L80">
        <f t="shared" si="18"/>
        <v>0.19606348894207817</v>
      </c>
    </row>
    <row r="81" spans="11:12" x14ac:dyDescent="0.25">
      <c r="K81">
        <f t="shared" si="17"/>
        <v>0.19606348894207817</v>
      </c>
      <c r="L81">
        <f t="shared" si="18"/>
        <v>0.19480975853815866</v>
      </c>
    </row>
    <row r="82" spans="11:12" x14ac:dyDescent="0.25">
      <c r="K82">
        <f t="shared" si="17"/>
        <v>0.19480975853815866</v>
      </c>
      <c r="L82">
        <f t="shared" si="18"/>
        <v>0.19357989551437538</v>
      </c>
    </row>
    <row r="83" spans="11:12" x14ac:dyDescent="0.25">
      <c r="K83">
        <f t="shared" si="17"/>
        <v>0.19357989551437538</v>
      </c>
      <c r="L83">
        <f t="shared" si="18"/>
        <v>0.19237314985041881</v>
      </c>
    </row>
    <row r="84" spans="11:12" x14ac:dyDescent="0.25">
      <c r="K84">
        <f t="shared" si="17"/>
        <v>0.19237314985041881</v>
      </c>
      <c r="L84">
        <f t="shared" si="18"/>
        <v>0.19118880418142306</v>
      </c>
    </row>
    <row r="85" spans="11:12" x14ac:dyDescent="0.25">
      <c r="K85">
        <f>L84</f>
        <v>0.19118880418142306</v>
      </c>
      <c r="L85">
        <f>SIN(K85)</f>
        <v>0.19002617198949909</v>
      </c>
    </row>
    <row r="86" spans="11:12" x14ac:dyDescent="0.25">
      <c r="K86">
        <f t="shared" ref="K86:K103" si="19">L85</f>
        <v>0.19002617198949909</v>
      </c>
      <c r="L86">
        <f t="shared" ref="L86:L103" si="20">SIN(K86)</f>
        <v>0.18888459591634557</v>
      </c>
    </row>
    <row r="87" spans="11:12" x14ac:dyDescent="0.25">
      <c r="K87">
        <f t="shared" si="19"/>
        <v>0.18888459591634557</v>
      </c>
      <c r="L87">
        <f t="shared" si="20"/>
        <v>0.18776344618746252</v>
      </c>
    </row>
    <row r="88" spans="11:12" x14ac:dyDescent="0.25">
      <c r="K88">
        <f t="shared" si="19"/>
        <v>0.18776344618746252</v>
      </c>
      <c r="L88">
        <f t="shared" si="20"/>
        <v>0.18666211913933886</v>
      </c>
    </row>
    <row r="89" spans="11:12" x14ac:dyDescent="0.25">
      <c r="K89">
        <f t="shared" si="19"/>
        <v>0.18666211913933886</v>
      </c>
      <c r="L89">
        <f t="shared" si="20"/>
        <v>0.18558003584174637</v>
      </c>
    </row>
    <row r="90" spans="11:12" x14ac:dyDescent="0.25">
      <c r="K90">
        <f t="shared" si="19"/>
        <v>0.18558003584174637</v>
      </c>
      <c r="L90">
        <f t="shared" si="20"/>
        <v>0.18451664080795874</v>
      </c>
    </row>
    <row r="91" spans="11:12" x14ac:dyDescent="0.25">
      <c r="K91">
        <f t="shared" si="19"/>
        <v>0.18451664080795874</v>
      </c>
      <c r="L91">
        <f t="shared" si="20"/>
        <v>0.18347140078633331</v>
      </c>
    </row>
    <row r="92" spans="11:12" x14ac:dyDescent="0.25">
      <c r="K92">
        <f t="shared" si="19"/>
        <v>0.18347140078633331</v>
      </c>
      <c r="L92">
        <f t="shared" si="20"/>
        <v>0.18244380362725282</v>
      </c>
    </row>
    <row r="93" spans="11:12" x14ac:dyDescent="0.25">
      <c r="K93">
        <f t="shared" si="19"/>
        <v>0.18244380362725282</v>
      </c>
      <c r="L93">
        <f t="shared" si="20"/>
        <v>0.1814333572199292</v>
      </c>
    </row>
    <row r="94" spans="11:12" x14ac:dyDescent="0.25">
      <c r="K94">
        <f t="shared" si="19"/>
        <v>0.1814333572199292</v>
      </c>
      <c r="L94">
        <f t="shared" si="20"/>
        <v>0.18043958849403072</v>
      </c>
    </row>
    <row r="95" spans="11:12" x14ac:dyDescent="0.25">
      <c r="K95">
        <f t="shared" si="19"/>
        <v>0.18043958849403072</v>
      </c>
      <c r="L95">
        <f t="shared" si="20"/>
        <v>0.17946204248150771</v>
      </c>
    </row>
    <row r="96" spans="11:12" x14ac:dyDescent="0.25">
      <c r="K96">
        <f t="shared" si="19"/>
        <v>0.17946204248150771</v>
      </c>
      <c r="L96">
        <f t="shared" si="20"/>
        <v>0.17850028143436997</v>
      </c>
    </row>
    <row r="97" spans="11:12" x14ac:dyDescent="0.25">
      <c r="K97">
        <f t="shared" si="19"/>
        <v>0.17850028143436997</v>
      </c>
      <c r="L97">
        <f t="shared" si="20"/>
        <v>0.17755388399451055</v>
      </c>
    </row>
    <row r="98" spans="11:12" x14ac:dyDescent="0.25">
      <c r="K98">
        <f t="shared" si="19"/>
        <v>0.17755388399451055</v>
      </c>
      <c r="L98">
        <f t="shared" si="20"/>
        <v>0.1766224444119823</v>
      </c>
    </row>
    <row r="99" spans="11:12" x14ac:dyDescent="0.25">
      <c r="K99">
        <f>L98</f>
        <v>0.1766224444119823</v>
      </c>
      <c r="L99">
        <f>SIN(K99)</f>
        <v>0.17570557180841717</v>
      </c>
    </row>
    <row r="100" spans="11:12" x14ac:dyDescent="0.25">
      <c r="K100">
        <f t="shared" si="19"/>
        <v>0.17570557180841717</v>
      </c>
      <c r="L100">
        <f t="shared" si="20"/>
        <v>0.17480288948253644</v>
      </c>
    </row>
    <row r="101" spans="11:12" x14ac:dyDescent="0.25">
      <c r="K101">
        <f t="shared" si="19"/>
        <v>0.17480288948253644</v>
      </c>
      <c r="L101">
        <f t="shared" si="20"/>
        <v>0.1739140342549361</v>
      </c>
    </row>
    <row r="102" spans="11:12" x14ac:dyDescent="0.25">
      <c r="K102">
        <f t="shared" si="19"/>
        <v>0.1739140342549361</v>
      </c>
      <c r="L102">
        <f t="shared" si="20"/>
        <v>0.17303865584954664</v>
      </c>
    </row>
    <row r="103" spans="11:12" x14ac:dyDescent="0.25">
      <c r="K103">
        <f t="shared" si="19"/>
        <v>0.17303865584954664</v>
      </c>
      <c r="L103">
        <f t="shared" si="20"/>
        <v>0.17217641630936356</v>
      </c>
    </row>
    <row r="104" spans="11:12" x14ac:dyDescent="0.25">
      <c r="K104">
        <f>L103</f>
        <v>0.17217641630936356</v>
      </c>
      <c r="L104">
        <f>SIN(K104)</f>
        <v>0.17132698944422503</v>
      </c>
    </row>
    <row r="105" spans="11:12" x14ac:dyDescent="0.25">
      <c r="K105">
        <f t="shared" ref="K105:K117" si="21">L104</f>
        <v>0.17132698944422503</v>
      </c>
      <c r="L105">
        <f t="shared" ref="L105:L117" si="22">SIN(K105)</f>
        <v>0.1704900603085778</v>
      </c>
    </row>
    <row r="106" spans="11:12" x14ac:dyDescent="0.25">
      <c r="K106">
        <f t="shared" si="21"/>
        <v>0.1704900603085778</v>
      </c>
      <c r="L106">
        <f t="shared" si="22"/>
        <v>0.16966532470732421</v>
      </c>
    </row>
    <row r="107" spans="11:12" x14ac:dyDescent="0.25">
      <c r="K107">
        <f t="shared" si="21"/>
        <v>0.16966532470732421</v>
      </c>
      <c r="L107">
        <f t="shared" si="22"/>
        <v>0.16885248872798111</v>
      </c>
    </row>
    <row r="108" spans="11:12" x14ac:dyDescent="0.25">
      <c r="K108">
        <f t="shared" si="21"/>
        <v>0.16885248872798111</v>
      </c>
      <c r="L108">
        <f t="shared" si="22"/>
        <v>0.16805126829751008</v>
      </c>
    </row>
    <row r="109" spans="11:12" x14ac:dyDescent="0.25">
      <c r="K109">
        <f t="shared" si="21"/>
        <v>0.16805126829751008</v>
      </c>
      <c r="L109">
        <f t="shared" si="22"/>
        <v>0.16726138876229377</v>
      </c>
    </row>
    <row r="110" spans="11:12" x14ac:dyDescent="0.25">
      <c r="K110">
        <f t="shared" si="21"/>
        <v>0.16726138876229377</v>
      </c>
      <c r="L110">
        <f t="shared" si="22"/>
        <v>0.16648258448984282</v>
      </c>
    </row>
    <row r="111" spans="11:12" x14ac:dyDescent="0.25">
      <c r="K111">
        <f t="shared" si="21"/>
        <v>0.16648258448984282</v>
      </c>
      <c r="L111">
        <f t="shared" si="22"/>
        <v>0.16571459849091533</v>
      </c>
    </row>
    <row r="112" spans="11:12" x14ac:dyDescent="0.25">
      <c r="K112">
        <f t="shared" si="21"/>
        <v>0.16571459849091533</v>
      </c>
      <c r="L112">
        <f t="shared" si="22"/>
        <v>0.16495718206082324</v>
      </c>
    </row>
    <row r="113" spans="11:12" x14ac:dyDescent="0.25">
      <c r="K113">
        <f t="shared" si="21"/>
        <v>0.16495718206082324</v>
      </c>
      <c r="L113">
        <f t="shared" si="22"/>
        <v>0.16421009443878368</v>
      </c>
    </row>
    <row r="114" spans="11:12" x14ac:dyDescent="0.25">
      <c r="K114">
        <f t="shared" si="21"/>
        <v>0.16421009443878368</v>
      </c>
      <c r="L114">
        <f t="shared" si="22"/>
        <v>0.16347310248425145</v>
      </c>
    </row>
    <row r="115" spans="11:12" x14ac:dyDescent="0.25">
      <c r="K115">
        <f t="shared" si="21"/>
        <v>0.16347310248425145</v>
      </c>
      <c r="L115">
        <f t="shared" si="22"/>
        <v>0.16274598036924029</v>
      </c>
    </row>
    <row r="116" spans="11:12" x14ac:dyDescent="0.25">
      <c r="K116">
        <f t="shared" si="21"/>
        <v>0.16274598036924029</v>
      </c>
      <c r="L116">
        <f t="shared" si="22"/>
        <v>0.16202850928570717</v>
      </c>
    </row>
    <row r="117" spans="11:12" x14ac:dyDescent="0.25">
      <c r="K117">
        <f t="shared" si="21"/>
        <v>0.16202850928570717</v>
      </c>
      <c r="L117">
        <f t="shared" si="22"/>
        <v>0.16132047716713496</v>
      </c>
    </row>
    <row r="118" spans="11:12" x14ac:dyDescent="0.25">
      <c r="K118">
        <f>L117</f>
        <v>0.16132047716713496</v>
      </c>
      <c r="L118">
        <f>SIN(K118)</f>
        <v>0.16062167842350597</v>
      </c>
    </row>
    <row r="119" spans="11:12" x14ac:dyDescent="0.25">
      <c r="K119">
        <f>L118</f>
        <v>0.16062167842350597</v>
      </c>
      <c r="L119">
        <f>SIN(K119)</f>
        <v>0.15993191368891083</v>
      </c>
    </row>
    <row r="120" spans="11:12" x14ac:dyDescent="0.25">
      <c r="K120">
        <f t="shared" ref="K120:K131" si="23">L119</f>
        <v>0.15993191368891083</v>
      </c>
      <c r="L120">
        <f t="shared" ref="L120:L131" si="24">SIN(K120)</f>
        <v>0.15925098958108691</v>
      </c>
    </row>
    <row r="121" spans="11:12" x14ac:dyDescent="0.25">
      <c r="K121">
        <f t="shared" si="23"/>
        <v>0.15925098958108691</v>
      </c>
      <c r="L121">
        <f t="shared" si="24"/>
        <v>0.15857871847222454</v>
      </c>
    </row>
    <row r="122" spans="11:12" x14ac:dyDescent="0.25">
      <c r="K122">
        <f t="shared" si="23"/>
        <v>0.15857871847222454</v>
      </c>
      <c r="L122">
        <f t="shared" si="24"/>
        <v>0.15791491827042217</v>
      </c>
    </row>
    <row r="123" spans="11:12" x14ac:dyDescent="0.25">
      <c r="K123">
        <f t="shared" si="23"/>
        <v>0.15791491827042217</v>
      </c>
      <c r="L123">
        <f t="shared" si="24"/>
        <v>0.15725941221120995</v>
      </c>
    </row>
    <row r="124" spans="11:12" x14ac:dyDescent="0.25">
      <c r="K124">
        <f t="shared" si="23"/>
        <v>0.15725941221120995</v>
      </c>
      <c r="L124">
        <f t="shared" si="24"/>
        <v>0.156612028658598</v>
      </c>
    </row>
    <row r="125" spans="11:12" x14ac:dyDescent="0.25">
      <c r="K125">
        <f t="shared" si="23"/>
        <v>0.156612028658598</v>
      </c>
      <c r="L125">
        <f t="shared" si="24"/>
        <v>0.15597260091513859</v>
      </c>
    </row>
    <row r="126" spans="11:12" x14ac:dyDescent="0.25">
      <c r="K126">
        <f t="shared" si="23"/>
        <v>0.15597260091513859</v>
      </c>
      <c r="L126">
        <f t="shared" si="24"/>
        <v>0.15534096704052341</v>
      </c>
    </row>
    <row r="127" spans="11:12" x14ac:dyDescent="0.25">
      <c r="K127">
        <f t="shared" si="23"/>
        <v>0.15534096704052341</v>
      </c>
      <c r="L127">
        <f t="shared" si="24"/>
        <v>0.15471696967826595</v>
      </c>
    </row>
    <row r="128" spans="11:12" x14ac:dyDescent="0.25">
      <c r="K128">
        <f t="shared" si="23"/>
        <v>0.15471696967826595</v>
      </c>
      <c r="L128">
        <f t="shared" si="24"/>
        <v>0.15410045589004623</v>
      </c>
    </row>
    <row r="129" spans="11:12" x14ac:dyDescent="0.25">
      <c r="K129">
        <f t="shared" si="23"/>
        <v>0.15410045589004623</v>
      </c>
      <c r="L129">
        <f t="shared" si="24"/>
        <v>0.15349127699732037</v>
      </c>
    </row>
    <row r="130" spans="11:12" x14ac:dyDescent="0.25">
      <c r="K130">
        <f t="shared" si="23"/>
        <v>0.15349127699732037</v>
      </c>
      <c r="L130">
        <f t="shared" si="24"/>
        <v>0.15288928842982141</v>
      </c>
    </row>
    <row r="131" spans="11:12" x14ac:dyDescent="0.25">
      <c r="K131">
        <f t="shared" si="23"/>
        <v>0.15288928842982141</v>
      </c>
      <c r="L131">
        <f t="shared" si="24"/>
        <v>0.15229434958059918</v>
      </c>
    </row>
    <row r="132" spans="11:12" x14ac:dyDescent="0.25">
      <c r="K132">
        <f>L131</f>
        <v>0.15229434958059918</v>
      </c>
      <c r="L132">
        <f>SIN(K132)</f>
        <v>0.15170632366726847</v>
      </c>
    </row>
    <row r="133" spans="11:12" x14ac:dyDescent="0.25">
      <c r="K133" s="1">
        <f t="shared" ref="K133" si="25">L132</f>
        <v>0.15170632366726847</v>
      </c>
      <c r="L133" s="1">
        <f t="shared" ref="L133" si="26">SIN(K133)</f>
        <v>0.1511250775991532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GR</vt:lpstr>
    </vt:vector>
  </TitlesOfParts>
  <Company>San Mateo County Libraries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 AD12</dc:creator>
  <cp:lastModifiedBy>BEL AD09</cp:lastModifiedBy>
  <dcterms:created xsi:type="dcterms:W3CDTF">2021-10-08T17:28:53Z</dcterms:created>
  <dcterms:modified xsi:type="dcterms:W3CDTF">2021-10-27T00:43:28Z</dcterms:modified>
</cp:coreProperties>
</file>